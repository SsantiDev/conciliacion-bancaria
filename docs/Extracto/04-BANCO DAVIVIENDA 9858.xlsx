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micaaromaticaandina.sharepoint.com/sites/40-TESORERIA/RECAUDOS MEDELLNBOGOT/CRUCE/"/>
    </mc:Choice>
  </mc:AlternateContent>
  <xr:revisionPtr revIDLastSave="32" documentId="8_{179C74F0-3AF0-43F8-BE46-7B761D5C5855}" xr6:coauthVersionLast="47" xr6:coauthVersionMax="47" xr10:uidLastSave="{AD638E72-0D9A-428C-832C-F59596524B8E}"/>
  <bookViews>
    <workbookView xWindow="28680" yWindow="-120" windowWidth="29040" windowHeight="15720" xr2:uid="{244881AC-2844-4339-90E2-66D6C82E724D}"/>
  </bookViews>
  <sheets>
    <sheet name="Movimientos0560039269999858 - 2" sheetId="1" r:id="rId1"/>
    <sheet name="GASTOS" sheetId="2" r:id="rId2"/>
  </sheets>
  <definedNames>
    <definedName name="_xlnm._FilterDatabase" localSheetId="1" hidden="1">GASTOS!$A$1:$I$55</definedName>
    <definedName name="_xlnm._FilterDatabase" localSheetId="0" hidden="1">'Movimientos0560039269999858 - 2'!$A$3:$Q$206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2" l="1"/>
</calcChain>
</file>

<file path=xl/sharedStrings.xml><?xml version="1.0" encoding="utf-8"?>
<sst xmlns="http://schemas.openxmlformats.org/spreadsheetml/2006/main" count="1613" uniqueCount="284">
  <si>
    <t>Movimientos</t>
  </si>
  <si>
    <t>Fecha</t>
  </si>
  <si>
    <t>Doc.</t>
  </si>
  <si>
    <t>Tran</t>
  </si>
  <si>
    <t>Ofi.</t>
  </si>
  <si>
    <t>Jor.</t>
  </si>
  <si>
    <t>Hora</t>
  </si>
  <si>
    <t>Mot.</t>
  </si>
  <si>
    <t>Desc Mot.</t>
  </si>
  <si>
    <t>Valor Total</t>
  </si>
  <si>
    <t>Valor Cheque</t>
  </si>
  <si>
    <t>ID Origen/Destino</t>
  </si>
  <si>
    <t>Referencia 1</t>
  </si>
  <si>
    <t>Referencia 2</t>
  </si>
  <si>
    <t>Terminal</t>
  </si>
  <si>
    <t>Fecha Movto.</t>
  </si>
  <si>
    <t>Ciudad</t>
  </si>
  <si>
    <t>Valor Saldo</t>
  </si>
  <si>
    <t>Notas Debito</t>
  </si>
  <si>
    <t>M/LLIN T/MINAL NORTE</t>
  </si>
  <si>
    <t>Normal</t>
  </si>
  <si>
    <t>Gmf Gravamen Mvto Financiero</t>
  </si>
  <si>
    <t>'</t>
  </si>
  <si>
    <t>MEDELLIN</t>
  </si>
  <si>
    <t>Cobro IVA Servicios Financieros</t>
  </si>
  <si>
    <t>Notas Credito</t>
  </si>
  <si>
    <t>DAVIPLATA</t>
  </si>
  <si>
    <t>Transferencia recibida desde Daviplata</t>
  </si>
  <si>
    <t>'0000003132258286</t>
  </si>
  <si>
    <t>'0000000000000000</t>
  </si>
  <si>
    <t>BOGOTA</t>
  </si>
  <si>
    <t>PORTAL-EMPRESARIAL</t>
  </si>
  <si>
    <t>Abono Por Pago a proveedores 8300001672 INSTITUTO NACIONAL DE</t>
  </si>
  <si>
    <t>'0560002869998738</t>
  </si>
  <si>
    <t>Deposito Especial</t>
  </si>
  <si>
    <t>CALIMA CALI</t>
  </si>
  <si>
    <t>Consignacion Efectivo en Oficina</t>
  </si>
  <si>
    <t>'0000000094491905</t>
  </si>
  <si>
    <t>'0000003218170412</t>
  </si>
  <si>
    <t>CALI</t>
  </si>
  <si>
    <t>App Davivienda</t>
  </si>
  <si>
    <t>Abono Transferencia 42098025 LUZ MYRIAM GUAPACHA</t>
  </si>
  <si>
    <t>'0570127670009134</t>
  </si>
  <si>
    <t>'0000000042098025</t>
  </si>
  <si>
    <t>Cobro Pago Proveedores Davivienda</t>
  </si>
  <si>
    <t>'0000000054388868</t>
  </si>
  <si>
    <t>Descuento por Pago a Proveedores 8600509061</t>
  </si>
  <si>
    <t>'0550006700176198</t>
  </si>
  <si>
    <t>'0000000860075787</t>
  </si>
  <si>
    <t>PORTAL PYMES</t>
  </si>
  <si>
    <t>Abono Por Pago a proveedores 9017001405 REY DE ALI OS SAS</t>
  </si>
  <si>
    <t>'0550108900316572</t>
  </si>
  <si>
    <t>Descuento por Pago a Proveedores 8000875655</t>
  </si>
  <si>
    <t>'0000475669996245</t>
  </si>
  <si>
    <t>'0000000054376076</t>
  </si>
  <si>
    <t>UNICENTRO CUCUTA</t>
  </si>
  <si>
    <t>'0000009010412381</t>
  </si>
  <si>
    <t>'0000000005822689</t>
  </si>
  <si>
    <t>CUCUTA</t>
  </si>
  <si>
    <t>www.davivienda.com</t>
  </si>
  <si>
    <t>Abono Transferencia 79602750 LUIS ALFRE VESGA</t>
  </si>
  <si>
    <t>'0560004660012065</t>
  </si>
  <si>
    <t>'0000000079602750</t>
  </si>
  <si>
    <t>CARVAJAL</t>
  </si>
  <si>
    <t>'0000000027992995</t>
  </si>
  <si>
    <t>'0000003103403915</t>
  </si>
  <si>
    <t>Abono Por Pago a proveedores 9011300131 DISTRIBUIDORA DE CONDI</t>
  </si>
  <si>
    <t>'0560016569997105</t>
  </si>
  <si>
    <t>'0000000000839929</t>
  </si>
  <si>
    <t>Descuento por Pago a Proveedores 8600757871</t>
  </si>
  <si>
    <t>'0550470100470389</t>
  </si>
  <si>
    <t>'0000000054374242</t>
  </si>
  <si>
    <t>BTA PROCESOS ESP.</t>
  </si>
  <si>
    <t>Nc Cargue Dvda Tarj Master Prepago</t>
  </si>
  <si>
    <t>QUINTA PAREDES</t>
  </si>
  <si>
    <t>'0000000900094919</t>
  </si>
  <si>
    <t>'0000003112348365</t>
  </si>
  <si>
    <t>'0000003103204658</t>
  </si>
  <si>
    <t>'0000003202178268</t>
  </si>
  <si>
    <t>Nd Cargue Dvda Tarj Master Prepgo</t>
  </si>
  <si>
    <t>'5116140003972811</t>
  </si>
  <si>
    <t>Nd Comision Cargue Tj Master Prepag</t>
  </si>
  <si>
    <t>'0000000054357302</t>
  </si>
  <si>
    <t>CALI VIPASA</t>
  </si>
  <si>
    <t>Abono Transferencia 9010979546 DINALFRUTS SAS</t>
  </si>
  <si>
    <t>'0570462870050723</t>
  </si>
  <si>
    <t>FUNZA</t>
  </si>
  <si>
    <t>'0000000052974140</t>
  </si>
  <si>
    <t>'0000003112849118</t>
  </si>
  <si>
    <t>Adicional</t>
  </si>
  <si>
    <t>Abono Transferencia 9016543579 INSUMOS Y ADITIVOS ALI</t>
  </si>
  <si>
    <t>'0550006600741588</t>
  </si>
  <si>
    <t>Pago Credito N**2570</t>
  </si>
  <si>
    <t>'0000300010172570</t>
  </si>
  <si>
    <t>'0000008600757871</t>
  </si>
  <si>
    <t>BTA SANTA ISABEL</t>
  </si>
  <si>
    <t>'0000001022359893</t>
  </si>
  <si>
    <t>'0000003203799044</t>
  </si>
  <si>
    <t>'0000003153577929</t>
  </si>
  <si>
    <t>BTA CIUDAD MONTES</t>
  </si>
  <si>
    <t>'0000000003201610</t>
  </si>
  <si>
    <t>PLAZA DE LAS AMERERICAS 3</t>
  </si>
  <si>
    <t>'0000000901721636</t>
  </si>
  <si>
    <t>'0000003106805120</t>
  </si>
  <si>
    <t>Abono Transferencia 9002478445 COMERCIALIZADORA AGROS</t>
  </si>
  <si>
    <t>'0560396669997613</t>
  </si>
  <si>
    <t>Abono Transferencia 16770118 SERVIO TUL YEPES</t>
  </si>
  <si>
    <t>'0570017970149393</t>
  </si>
  <si>
    <t>'0000000016770118</t>
  </si>
  <si>
    <t>'0000003132078560</t>
  </si>
  <si>
    <t>'0000003180333111</t>
  </si>
  <si>
    <t>Abono Transferencia 52647079 CARMEN ROS HERNANDEZ</t>
  </si>
  <si>
    <t>'0550488417784144</t>
  </si>
  <si>
    <t>'0000000052647079</t>
  </si>
  <si>
    <t>'0000003182575383</t>
  </si>
  <si>
    <t>Abono Por Pago a proveedores 9012210426 ACTIVAFOODS SAS</t>
  </si>
  <si>
    <t>'0570006487012509</t>
  </si>
  <si>
    <t>'0000000000838701</t>
  </si>
  <si>
    <t>Abono Transferencia 8301038389 CI ROSGAR EU</t>
  </si>
  <si>
    <t>'0550000400058855</t>
  </si>
  <si>
    <t>TUNJA PLAZA REAL</t>
  </si>
  <si>
    <t>'0000000040010431</t>
  </si>
  <si>
    <t>'0000003133508151</t>
  </si>
  <si>
    <t>TUNJA</t>
  </si>
  <si>
    <t>Mayales Plaza</t>
  </si>
  <si>
    <t>'0000000009100734</t>
  </si>
  <si>
    <t>'0000003246484765</t>
  </si>
  <si>
    <t>VALLEDUPAR</t>
  </si>
  <si>
    <t>'0000003183955162</t>
  </si>
  <si>
    <t>Abono Transferencia 9013554850 GRUPO DISTRICOSTOS SAS</t>
  </si>
  <si>
    <t>'0560108969957001</t>
  </si>
  <si>
    <t>CHIMITA</t>
  </si>
  <si>
    <t>'0000000063514229</t>
  </si>
  <si>
    <t>'0000003188043410</t>
  </si>
  <si>
    <t>BUCARAMANGA</t>
  </si>
  <si>
    <t>Abono Transferencia 19054404 JESUS ANTO ROA</t>
  </si>
  <si>
    <t>'0570008380458524</t>
  </si>
  <si>
    <t>'0000000019054404</t>
  </si>
  <si>
    <t>Abono Transferencia 1112628351 ERICA SORA CASTANEDA</t>
  </si>
  <si>
    <t>'0550488402920208</t>
  </si>
  <si>
    <t>'0000001112628351</t>
  </si>
  <si>
    <t>JERICO</t>
  </si>
  <si>
    <t>'0000000071878380</t>
  </si>
  <si>
    <t>'0000000008523956</t>
  </si>
  <si>
    <t>Abono Por Pago a proveedores 8600571312 TISANAS ORQUIDEA SAS</t>
  </si>
  <si>
    <t>'0560005369997589</t>
  </si>
  <si>
    <t>'0000003154224951</t>
  </si>
  <si>
    <t>'0000000890200613</t>
  </si>
  <si>
    <t>'0000003132940582</t>
  </si>
  <si>
    <t>LA TEBAIDA</t>
  </si>
  <si>
    <t>'0000000713326342</t>
  </si>
  <si>
    <t>'0000003103479365</t>
  </si>
  <si>
    <t>'0000000054311045</t>
  </si>
  <si>
    <t>'0000000000838544</t>
  </si>
  <si>
    <t>VILLETA</t>
  </si>
  <si>
    <t>'0000000211100111</t>
  </si>
  <si>
    <t>'0000003157712025</t>
  </si>
  <si>
    <t>Abono Transferencia 80818899 CESAR BAEZ</t>
  </si>
  <si>
    <t>'0550488428320920</t>
  </si>
  <si>
    <t>'0000000080818899</t>
  </si>
  <si>
    <t>PROCESOS ACH</t>
  </si>
  <si>
    <t>Abono ACH 900732020 CANDIES AND COOK</t>
  </si>
  <si>
    <t>'0000000900732020</t>
  </si>
  <si>
    <t>'0000003124543253</t>
  </si>
  <si>
    <t>Abono Por Pago a proveedores 9001034910 MUFFINS Y CREPES SAS</t>
  </si>
  <si>
    <t>'0550468200190071</t>
  </si>
  <si>
    <t>'0000009001034910</t>
  </si>
  <si>
    <t>CALI ALAMEDA</t>
  </si>
  <si>
    <t>Giron</t>
  </si>
  <si>
    <t>'0000000037548663</t>
  </si>
  <si>
    <t>'0000003157877333</t>
  </si>
  <si>
    <t>'0000003203301205</t>
  </si>
  <si>
    <t>Abono Transferencia 9008646255 DISTRIBUIDORA SARVID S</t>
  </si>
  <si>
    <t>'0550136000807729</t>
  </si>
  <si>
    <t>Abono ACH 8000143387 LABORATORIOS NAT</t>
  </si>
  <si>
    <t>'0000008000143387</t>
  </si>
  <si>
    <t>'0000021000010631</t>
  </si>
  <si>
    <t>'0000003203049298</t>
  </si>
  <si>
    <t>'0000000054290915</t>
  </si>
  <si>
    <t>Descuento Por Pago de Proveedores.</t>
  </si>
  <si>
    <t>Abono Transferencia 55179306 INGRID ADR MORA</t>
  </si>
  <si>
    <t>'0550488429312082</t>
  </si>
  <si>
    <t>'0000000055179306</t>
  </si>
  <si>
    <t>CANAVERAL</t>
  </si>
  <si>
    <t>VENTURA</t>
  </si>
  <si>
    <t>'0000000005712897</t>
  </si>
  <si>
    <t>SIETE DE AGOSTO</t>
  </si>
  <si>
    <t>'0000000051906048</t>
  </si>
  <si>
    <t>'0000000311747763</t>
  </si>
  <si>
    <t>'0000000054278599</t>
  </si>
  <si>
    <t>Descuento por Pago a Proveedores 9013803446</t>
  </si>
  <si>
    <t>'0550005500245963</t>
  </si>
  <si>
    <t>Compras y Pagos PSE</t>
  </si>
  <si>
    <t>Pagos por Internet CAMARA DE COMERCIO DE B</t>
  </si>
  <si>
    <t>'0000000229510899</t>
  </si>
  <si>
    <t>Abono Transferencia 79601566 NELSON JAV ESPINOSA</t>
  </si>
  <si>
    <t>'0550001400034128</t>
  </si>
  <si>
    <t>'0000000079601566</t>
  </si>
  <si>
    <t>Abono Transferencia 8002315960 CORPORACION PANELERA D</t>
  </si>
  <si>
    <t>'0000000022018923</t>
  </si>
  <si>
    <t>Abono Transferencia 9016127541 DEPOSITO EL PIEDRUNO S</t>
  </si>
  <si>
    <t>'0550108900203440</t>
  </si>
  <si>
    <t>'0000000054260816</t>
  </si>
  <si>
    <t>'0000003013974089</t>
  </si>
  <si>
    <t>Cobro Servicio Recaudo Nacional.</t>
  </si>
  <si>
    <t>'0560039269999858</t>
  </si>
  <si>
    <t>'9999999999004729</t>
  </si>
  <si>
    <t>'9999999999004795</t>
  </si>
  <si>
    <t>Abono Transferencia 9017040641 CREANDO CULTIVOS S.A.S</t>
  </si>
  <si>
    <t>'0550108900324071</t>
  </si>
  <si>
    <t>'0000836098836696</t>
  </si>
  <si>
    <t>Pago Credito N**7446</t>
  </si>
  <si>
    <t>'0000300010207446</t>
  </si>
  <si>
    <t>'0000000054243897</t>
  </si>
  <si>
    <t>'0000000054245055</t>
  </si>
  <si>
    <t>VILLAMARIA</t>
  </si>
  <si>
    <t>'0000000075050224</t>
  </si>
  <si>
    <t>'0000003154398039</t>
  </si>
  <si>
    <t>MANIZALES</t>
  </si>
  <si>
    <t>LORICA</t>
  </si>
  <si>
    <t>'0000001063161743</t>
  </si>
  <si>
    <t>'0000003008224301</t>
  </si>
  <si>
    <t>Abono Transferencia 9012271541 LA CASA DEL PANADERO Y</t>
  </si>
  <si>
    <t>'0570066370065261</t>
  </si>
  <si>
    <t>CENTRO CIAL DELACUESTA</t>
  </si>
  <si>
    <t>'0000003154851682</t>
  </si>
  <si>
    <t>Abono Transferencia 34538407 CONSUELO ZULUAGA</t>
  </si>
  <si>
    <t>'0550488424671235</t>
  </si>
  <si>
    <t>'0000003178724625</t>
  </si>
  <si>
    <t>Pago Credito N**8601</t>
  </si>
  <si>
    <t>'0000300010208601</t>
  </si>
  <si>
    <t>'0000000054227519</t>
  </si>
  <si>
    <t>Abono Por Pago de Nomina 9002760705 NATURAL BIOLOGIC SAS</t>
  </si>
  <si>
    <t>'0560462969999285</t>
  </si>
  <si>
    <t>Abono Transferencia 37656584 SONIA ISAB CARDENAS</t>
  </si>
  <si>
    <t>'0570056570052631</t>
  </si>
  <si>
    <t>'0000000037656584</t>
  </si>
  <si>
    <t>CARRERA QUINTA</t>
  </si>
  <si>
    <t>'0000009017040641</t>
  </si>
  <si>
    <t>'0000003204876569</t>
  </si>
  <si>
    <t>IBAGUE</t>
  </si>
  <si>
    <t>'0000000054211575</t>
  </si>
  <si>
    <t>Abono ACH 9014497409 MERCADOPAGO SA C</t>
  </si>
  <si>
    <t>'0000009014497409</t>
  </si>
  <si>
    <t>'0000000088143019</t>
  </si>
  <si>
    <t>'0000003117477613</t>
  </si>
  <si>
    <t>'0000000005832689</t>
  </si>
  <si>
    <t>'0000000054201218</t>
  </si>
  <si>
    <t>BTA MARLY</t>
  </si>
  <si>
    <t>'0000000052534322</t>
  </si>
  <si>
    <t>'0000000002556010</t>
  </si>
  <si>
    <t>Abono Por Pago a proveedores 8000942681 DISTRIBUIDORA BOYPAN S</t>
  </si>
  <si>
    <t>'0560005969999928</t>
  </si>
  <si>
    <t>'0000000000000394</t>
  </si>
  <si>
    <t>'0000000004551783</t>
  </si>
  <si>
    <t>'0000003206924449</t>
  </si>
  <si>
    <t>'0000003228484308</t>
  </si>
  <si>
    <t>Pago Credito N**8584</t>
  </si>
  <si>
    <t>'0000300010208584</t>
  </si>
  <si>
    <t>FUNDACION</t>
  </si>
  <si>
    <t>'0000001002436441</t>
  </si>
  <si>
    <t>'0000003106117142</t>
  </si>
  <si>
    <t>Pago Credito N**2772</t>
  </si>
  <si>
    <t>'7003031800432772</t>
  </si>
  <si>
    <t>'0000000071332634</t>
  </si>
  <si>
    <t>'0000003202875060</t>
  </si>
  <si>
    <t>FUSAGASUGA</t>
  </si>
  <si>
    <t>Abono Por Transferencia de Fondos</t>
  </si>
  <si>
    <t>'0570406070032957</t>
  </si>
  <si>
    <t>'0000000079251880</t>
  </si>
  <si>
    <t>'0000000054181191</t>
  </si>
  <si>
    <t>'0000000054181358</t>
  </si>
  <si>
    <t>Abono Transferencia 7212306 SIERVO DE BECERRA</t>
  </si>
  <si>
    <t>'0560246060001731</t>
  </si>
  <si>
    <t>'0000003238844732</t>
  </si>
  <si>
    <t>'0000000054131012</t>
  </si>
  <si>
    <t>Abono Por Pago a proveedores 8908075298 INDUSTRIAS NORMANDY SA</t>
  </si>
  <si>
    <t>'0560084569999430</t>
  </si>
  <si>
    <t>'0000003158350372</t>
  </si>
  <si>
    <t>Total Abonos</t>
  </si>
  <si>
    <t>Total retiros y debitos</t>
  </si>
  <si>
    <t>Movimiento neto</t>
  </si>
  <si>
    <t>Cantidad de registros</t>
  </si>
  <si>
    <t>-$73,395,508.85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</si>
</sst>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6" fillId="33" borderId="10" xfId="0" applyFont="1" applyFill="1" applyBorder="1" applyAlignment="1">
      <alignment wrapText="1"/>
    </xf>
    <xf numFmtId="14" fontId="0" fillId="0" borderId="10" xfId="0" applyNumberFormat="1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21" fontId="0" fillId="0" borderId="10" xfId="0" applyNumberFormat="1" applyBorder="1" applyAlignment="1">
      <alignment horizontal="right" wrapText="1"/>
    </xf>
    <xf numFmtId="8" fontId="0" fillId="0" borderId="10" xfId="0" applyNumberFormat="1" applyBorder="1" applyAlignment="1">
      <alignment horizontal="right" wrapText="1"/>
    </xf>
    <xf numFmtId="0" fontId="0" fillId="0" borderId="10" xfId="0" applyBorder="1" applyAlignment="1">
      <alignment horizontal="center"/>
    </xf>
    <xf numFmtId="8" fontId="0" fillId="0" borderId="10" xfId="0" applyNumberFormat="1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3" fontId="0" fillId="0" borderId="0" xfId="1" applyFont="1"/>
    <xf numFmtId="0" fontId="16" fillId="33" borderId="10" xfId="0" applyFont="1" applyFill="1" applyBorder="1"/>
    <xf numFmtId="43" fontId="16" fillId="33" borderId="10" xfId="1" applyFont="1" applyFill="1" applyBorder="1" applyAlignment="1"/>
    <xf numFmtId="14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43" fontId="0" fillId="0" borderId="10" xfId="1" applyFont="1" applyBorder="1" applyAlignment="1">
      <alignment horizontal="right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34" borderId="10" xfId="0" applyFont="1" applyFill="1" applyBorder="1" applyAlignment="1">
      <alignment wrapText="1"/>
    </xf>
    <xf numFmtId="0" fontId="0" fillId="34" borderId="10" xfId="0" applyFill="1" applyBorder="1" applyAlignment="1">
      <alignment horizontal="right" wrapText="1"/>
    </xf>
    <xf numFmtId="0" fontId="0" fillId="34" borderId="0" xfId="0" applyFill="1"/>
    <xf numFmtId="0" fontId="0" fillId="34" borderId="10" xfId="0" applyFill="1" applyBorder="1" applyAlignment="1">
      <alignment horizontal="center"/>
    </xf>
    <xf numFmtId="0" fontId="0" fillId="34" borderId="10" xfId="0" applyFill="1" applyBorder="1"/>
    <xf numFmtId="14" fontId="0" fillId="34" borderId="10" xfId="0" applyNumberFormat="1" applyFill="1" applyBorder="1" applyAlignment="1">
      <alignment horizontal="right" wrapText="1"/>
    </xf>
    <xf numFmtId="0" fontId="0" fillId="34" borderId="10" xfId="0" applyFill="1" applyBorder="1" applyAlignment="1">
      <alignment wrapText="1"/>
    </xf>
    <xf numFmtId="8" fontId="0" fillId="34" borderId="10" xfId="0" applyNumberFormat="1" applyFill="1" applyBorder="1"/>
    <xf numFmtId="0" fontId="16" fillId="34" borderId="12" xfId="0" applyFont="1" applyFill="1" applyBorder="1" applyAlignment="1">
      <alignment horizontal="center"/>
    </xf>
    <xf numFmtId="0" fontId="0" fillId="34" borderId="16" xfId="0" applyFill="1" applyBorder="1"/>
    <xf numFmtId="43" fontId="0" fillId="34" borderId="0" xfId="1" applyFont="1" applyFill="1"/>
    <xf numFmtId="43" fontId="16" fillId="34" borderId="10" xfId="1" applyFont="1" applyFill="1" applyBorder="1" applyAlignment="1">
      <alignment wrapText="1"/>
    </xf>
    <xf numFmtId="43" fontId="0" fillId="34" borderId="10" xfId="1" applyFont="1" applyFill="1" applyBorder="1" applyAlignment="1">
      <alignment horizontal="right" wrapText="1"/>
    </xf>
    <xf numFmtId="43" fontId="0" fillId="34" borderId="16" xfId="1" applyFont="1" applyFill="1" applyBorder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8B1F-F3E9-442A-982C-5EAF0B57014D}">
  <dimension ref="A2:Q209"/>
  <sheetViews>
    <sheetView showGridLines="0" tabSelected="1" workbookViewId="0">
      <selection activeCell="H7" sqref="H7"/>
    </sheetView>
  </sheetViews>
  <sheetFormatPr baseColWidth="10" defaultRowHeight="14.5" x14ac:dyDescent="0.35"/>
  <cols>
    <col min="1" max="1" width="14.81640625" style="24" bestFit="1" customWidth="1"/>
    <col min="2" max="2" width="19.08984375" bestFit="1" customWidth="1"/>
    <col min="3" max="3" width="16.08984375" style="24" bestFit="1" customWidth="1"/>
    <col min="4" max="4" width="21.6328125" customWidth="1"/>
    <col min="5" max="5" width="9" bestFit="1" customWidth="1"/>
    <col min="6" max="6" width="7.90625" bestFit="1" customWidth="1"/>
    <col min="7" max="7" width="4.7265625" bestFit="1" customWidth="1"/>
    <col min="8" max="8" width="43.6328125" style="24" bestFit="1" customWidth="1"/>
    <col min="9" max="9" width="16.26953125" style="32" customWidth="1"/>
    <col min="10" max="10" width="12.54296875" bestFit="1" customWidth="1"/>
    <col min="11" max="11" width="16.6328125" bestFit="1" customWidth="1"/>
    <col min="12" max="13" width="17.26953125" bestFit="1" customWidth="1"/>
    <col min="14" max="14" width="8.453125" bestFit="1" customWidth="1"/>
    <col min="15" max="15" width="12.26953125" bestFit="1" customWidth="1"/>
    <col min="16" max="16" width="13.90625" bestFit="1" customWidth="1"/>
    <col min="17" max="17" width="14.81640625" bestFit="1" customWidth="1"/>
  </cols>
  <sheetData>
    <row r="2" spans="1:17" x14ac:dyDescent="0.35">
      <c r="A2" s="19" t="s">
        <v>0</v>
      </c>
      <c r="B2" s="20"/>
      <c r="C2" s="20"/>
      <c r="D2" s="20"/>
      <c r="E2" s="20"/>
      <c r="F2" s="20"/>
      <c r="G2" s="20"/>
      <c r="H2" s="30"/>
      <c r="I2" s="30"/>
      <c r="J2" s="20"/>
      <c r="K2" s="20"/>
      <c r="L2" s="20"/>
      <c r="M2" s="20"/>
      <c r="N2" s="20"/>
      <c r="O2" s="20"/>
      <c r="P2" s="21"/>
      <c r="Q2" s="9"/>
    </row>
    <row r="3" spans="1:17" x14ac:dyDescent="0.35">
      <c r="A3" s="22" t="s">
        <v>1</v>
      </c>
      <c r="B3" s="1" t="s">
        <v>2</v>
      </c>
      <c r="C3" s="22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22" t="s">
        <v>8</v>
      </c>
      <c r="I3" s="33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x14ac:dyDescent="0.35">
      <c r="A4" s="27">
        <v>46142</v>
      </c>
      <c r="B4" s="3">
        <v>99999999</v>
      </c>
      <c r="C4" s="23" t="s">
        <v>18</v>
      </c>
      <c r="D4" s="3" t="s">
        <v>19</v>
      </c>
      <c r="E4" s="3" t="s">
        <v>20</v>
      </c>
      <c r="F4" s="4">
        <v>0.99998842592592596</v>
      </c>
      <c r="G4" s="3">
        <v>41</v>
      </c>
      <c r="H4" s="23" t="s">
        <v>21</v>
      </c>
      <c r="I4" s="34">
        <v>55443.62</v>
      </c>
      <c r="J4" s="5">
        <v>0</v>
      </c>
      <c r="K4" s="3"/>
      <c r="L4" s="3" t="s">
        <v>22</v>
      </c>
      <c r="M4" s="3" t="s">
        <v>22</v>
      </c>
      <c r="N4" s="3">
        <v>0</v>
      </c>
      <c r="O4" s="2">
        <v>46142</v>
      </c>
      <c r="P4" s="3" t="s">
        <v>23</v>
      </c>
      <c r="Q4" s="5">
        <v>0</v>
      </c>
    </row>
    <row r="5" spans="1:17" x14ac:dyDescent="0.35">
      <c r="A5" s="27">
        <v>46142</v>
      </c>
      <c r="B5" s="3">
        <v>99999998</v>
      </c>
      <c r="C5" s="23" t="s">
        <v>18</v>
      </c>
      <c r="D5" s="3" t="s">
        <v>19</v>
      </c>
      <c r="E5" s="3" t="s">
        <v>20</v>
      </c>
      <c r="F5" s="4">
        <v>0.99998842592592596</v>
      </c>
      <c r="G5" s="3">
        <v>40</v>
      </c>
      <c r="H5" s="23" t="s">
        <v>24</v>
      </c>
      <c r="I5" s="34">
        <v>1051</v>
      </c>
      <c r="J5" s="5">
        <v>0</v>
      </c>
      <c r="K5" s="3"/>
      <c r="L5" s="3" t="s">
        <v>22</v>
      </c>
      <c r="M5" s="3" t="s">
        <v>22</v>
      </c>
      <c r="N5" s="3">
        <v>0</v>
      </c>
      <c r="O5" s="2">
        <v>46142</v>
      </c>
      <c r="P5" s="3" t="s">
        <v>23</v>
      </c>
      <c r="Q5" s="5">
        <v>0</v>
      </c>
    </row>
    <row r="6" spans="1:17" x14ac:dyDescent="0.35">
      <c r="A6" s="27">
        <v>46142</v>
      </c>
      <c r="B6" s="3">
        <v>534000</v>
      </c>
      <c r="C6" s="23" t="s">
        <v>25</v>
      </c>
      <c r="D6" s="3" t="s">
        <v>26</v>
      </c>
      <c r="E6" s="3" t="s">
        <v>20</v>
      </c>
      <c r="F6" s="4">
        <v>0.97956018518518517</v>
      </c>
      <c r="G6" s="3">
        <v>300</v>
      </c>
      <c r="H6" s="23" t="s">
        <v>27</v>
      </c>
      <c r="I6" s="34">
        <v>1057077</v>
      </c>
      <c r="J6" s="5">
        <v>0</v>
      </c>
      <c r="K6" s="3"/>
      <c r="L6" s="3" t="s">
        <v>28</v>
      </c>
      <c r="M6" s="3" t="s">
        <v>29</v>
      </c>
      <c r="N6" s="3">
        <v>1387</v>
      </c>
      <c r="O6" s="2">
        <v>46142</v>
      </c>
      <c r="P6" s="3" t="s">
        <v>30</v>
      </c>
      <c r="Q6" s="5">
        <v>117723309.17</v>
      </c>
    </row>
    <row r="7" spans="1:17" ht="29" x14ac:dyDescent="0.35">
      <c r="A7" s="27">
        <v>46142</v>
      </c>
      <c r="B7" s="3">
        <v>546733</v>
      </c>
      <c r="C7" s="23" t="s">
        <v>25</v>
      </c>
      <c r="D7" s="3" t="s">
        <v>31</v>
      </c>
      <c r="E7" s="3" t="s">
        <v>20</v>
      </c>
      <c r="F7" s="4">
        <v>0.66864583333333338</v>
      </c>
      <c r="G7" s="3">
        <v>80</v>
      </c>
      <c r="H7" s="23" t="s">
        <v>32</v>
      </c>
      <c r="I7" s="34">
        <v>4241406</v>
      </c>
      <c r="J7" s="5">
        <v>0</v>
      </c>
      <c r="K7" s="3">
        <v>8300001672</v>
      </c>
      <c r="L7" s="3" t="s">
        <v>33</v>
      </c>
      <c r="M7" s="3" t="s">
        <v>29</v>
      </c>
      <c r="N7" s="3">
        <v>19</v>
      </c>
      <c r="O7" s="2">
        <v>46142</v>
      </c>
      <c r="P7" s="3" t="s">
        <v>30</v>
      </c>
      <c r="Q7" s="5">
        <v>113481903.17</v>
      </c>
    </row>
    <row r="8" spans="1:17" x14ac:dyDescent="0.35">
      <c r="A8" s="27">
        <v>46142</v>
      </c>
      <c r="B8" s="3">
        <v>518980</v>
      </c>
      <c r="C8" s="23" t="s">
        <v>34</v>
      </c>
      <c r="D8" s="3" t="s">
        <v>35</v>
      </c>
      <c r="E8" s="3" t="s">
        <v>20</v>
      </c>
      <c r="F8" s="4">
        <v>0.54365740740740742</v>
      </c>
      <c r="G8" s="3">
        <v>0</v>
      </c>
      <c r="H8" s="23" t="s">
        <v>36</v>
      </c>
      <c r="I8" s="34">
        <v>2442219.9900000002</v>
      </c>
      <c r="J8" s="5">
        <v>0</v>
      </c>
      <c r="K8" s="3"/>
      <c r="L8" s="3" t="s">
        <v>37</v>
      </c>
      <c r="M8" s="3" t="s">
        <v>38</v>
      </c>
      <c r="N8" s="3">
        <v>17137</v>
      </c>
      <c r="O8" s="2">
        <v>46142</v>
      </c>
      <c r="P8" s="3" t="s">
        <v>39</v>
      </c>
      <c r="Q8" s="5">
        <v>111039683.18000001</v>
      </c>
    </row>
    <row r="9" spans="1:17" ht="29" x14ac:dyDescent="0.35">
      <c r="A9" s="27">
        <v>46142</v>
      </c>
      <c r="B9" s="3">
        <v>9565980</v>
      </c>
      <c r="C9" s="23" t="s">
        <v>25</v>
      </c>
      <c r="D9" s="3" t="s">
        <v>40</v>
      </c>
      <c r="E9" s="3" t="s">
        <v>20</v>
      </c>
      <c r="F9" s="4">
        <v>0.41457175925925926</v>
      </c>
      <c r="G9" s="3">
        <v>6</v>
      </c>
      <c r="H9" s="23" t="s">
        <v>41</v>
      </c>
      <c r="I9" s="34">
        <v>747400</v>
      </c>
      <c r="J9" s="5">
        <v>0</v>
      </c>
      <c r="K9" s="3">
        <v>42098025</v>
      </c>
      <c r="L9" s="3" t="s">
        <v>42</v>
      </c>
      <c r="M9" s="3" t="s">
        <v>43</v>
      </c>
      <c r="N9" s="3">
        <v>12566</v>
      </c>
      <c r="O9" s="2">
        <v>46142</v>
      </c>
      <c r="P9" s="3" t="s">
        <v>30</v>
      </c>
      <c r="Q9" s="5">
        <v>110292283.18000001</v>
      </c>
    </row>
    <row r="10" spans="1:17" x14ac:dyDescent="0.35">
      <c r="A10" s="27">
        <v>46142</v>
      </c>
      <c r="B10" s="3">
        <v>635297</v>
      </c>
      <c r="C10" s="23" t="s">
        <v>18</v>
      </c>
      <c r="D10" s="3" t="s">
        <v>31</v>
      </c>
      <c r="E10" s="3" t="s">
        <v>20</v>
      </c>
      <c r="F10" s="4">
        <v>0.36947916666666669</v>
      </c>
      <c r="G10" s="3">
        <v>177</v>
      </c>
      <c r="H10" s="23" t="s">
        <v>44</v>
      </c>
      <c r="I10" s="34">
        <v>5530</v>
      </c>
      <c r="J10" s="5">
        <v>0</v>
      </c>
      <c r="K10" s="3"/>
      <c r="L10" s="3" t="s">
        <v>45</v>
      </c>
      <c r="M10" s="3" t="s">
        <v>45</v>
      </c>
      <c r="N10" s="3">
        <v>23</v>
      </c>
      <c r="O10" s="2">
        <v>46142</v>
      </c>
      <c r="P10" s="3" t="s">
        <v>30</v>
      </c>
      <c r="Q10" s="5">
        <v>124208633.8</v>
      </c>
    </row>
    <row r="11" spans="1:17" x14ac:dyDescent="0.35">
      <c r="A11" s="27">
        <v>46142</v>
      </c>
      <c r="B11" s="3">
        <v>635296</v>
      </c>
      <c r="C11" s="23" t="s">
        <v>18</v>
      </c>
      <c r="D11" s="3" t="s">
        <v>31</v>
      </c>
      <c r="E11" s="3" t="s">
        <v>20</v>
      </c>
      <c r="F11" s="4">
        <v>0.36947916666666669</v>
      </c>
      <c r="G11" s="3">
        <v>80</v>
      </c>
      <c r="H11" s="23" t="s">
        <v>46</v>
      </c>
      <c r="I11" s="34">
        <v>13854326</v>
      </c>
      <c r="J11" s="5">
        <v>0</v>
      </c>
      <c r="K11" s="3">
        <v>8600509061</v>
      </c>
      <c r="L11" s="3" t="s">
        <v>47</v>
      </c>
      <c r="M11" s="3" t="s">
        <v>48</v>
      </c>
      <c r="N11" s="3">
        <v>89</v>
      </c>
      <c r="O11" s="2">
        <v>46142</v>
      </c>
      <c r="P11" s="3" t="s">
        <v>30</v>
      </c>
      <c r="Q11" s="5">
        <v>124202026.48</v>
      </c>
    </row>
    <row r="12" spans="1:17" x14ac:dyDescent="0.35">
      <c r="A12" s="27">
        <v>46141</v>
      </c>
      <c r="B12" s="3">
        <v>99999999</v>
      </c>
      <c r="C12" s="23" t="s">
        <v>18</v>
      </c>
      <c r="D12" s="3" t="s">
        <v>19</v>
      </c>
      <c r="E12" s="3" t="s">
        <v>20</v>
      </c>
      <c r="F12" s="4">
        <v>0.99998842592592596</v>
      </c>
      <c r="G12" s="3">
        <v>41</v>
      </c>
      <c r="H12" s="23" t="s">
        <v>21</v>
      </c>
      <c r="I12" s="34">
        <v>78117.740000000005</v>
      </c>
      <c r="J12" s="5">
        <v>0</v>
      </c>
      <c r="K12" s="3"/>
      <c r="L12" s="3" t="s">
        <v>22</v>
      </c>
      <c r="M12" s="3" t="s">
        <v>22</v>
      </c>
      <c r="N12" s="3">
        <v>0</v>
      </c>
      <c r="O12" s="2">
        <v>46141</v>
      </c>
      <c r="P12" s="3" t="s">
        <v>23</v>
      </c>
      <c r="Q12" s="5">
        <v>0</v>
      </c>
    </row>
    <row r="13" spans="1:17" x14ac:dyDescent="0.35">
      <c r="A13" s="27">
        <v>46141</v>
      </c>
      <c r="B13" s="3">
        <v>99999998</v>
      </c>
      <c r="C13" s="23" t="s">
        <v>18</v>
      </c>
      <c r="D13" s="3" t="s">
        <v>19</v>
      </c>
      <c r="E13" s="3" t="s">
        <v>20</v>
      </c>
      <c r="F13" s="4">
        <v>0.99998842592592596</v>
      </c>
      <c r="G13" s="3">
        <v>40</v>
      </c>
      <c r="H13" s="23" t="s">
        <v>24</v>
      </c>
      <c r="I13" s="34">
        <v>2102</v>
      </c>
      <c r="J13" s="5">
        <v>0</v>
      </c>
      <c r="K13" s="3"/>
      <c r="L13" s="3" t="s">
        <v>22</v>
      </c>
      <c r="M13" s="3" t="s">
        <v>22</v>
      </c>
      <c r="N13" s="3">
        <v>0</v>
      </c>
      <c r="O13" s="2">
        <v>46141</v>
      </c>
      <c r="P13" s="3" t="s">
        <v>23</v>
      </c>
      <c r="Q13" s="5">
        <v>0</v>
      </c>
    </row>
    <row r="14" spans="1:17" ht="29" x14ac:dyDescent="0.35">
      <c r="A14" s="27">
        <v>46141</v>
      </c>
      <c r="B14" s="3">
        <v>944129</v>
      </c>
      <c r="C14" s="23" t="s">
        <v>25</v>
      </c>
      <c r="D14" s="3" t="s">
        <v>49</v>
      </c>
      <c r="E14" s="3" t="s">
        <v>20</v>
      </c>
      <c r="F14" s="4">
        <v>0.76476851851851857</v>
      </c>
      <c r="G14" s="3">
        <v>80</v>
      </c>
      <c r="H14" s="23" t="s">
        <v>50</v>
      </c>
      <c r="I14" s="34">
        <v>349146</v>
      </c>
      <c r="J14" s="5">
        <v>0</v>
      </c>
      <c r="K14" s="3">
        <v>9017001405</v>
      </c>
      <c r="L14" s="3" t="s">
        <v>51</v>
      </c>
      <c r="M14" s="3" t="s">
        <v>29</v>
      </c>
      <c r="N14" s="3">
        <v>4514</v>
      </c>
      <c r="O14" s="2">
        <v>46141</v>
      </c>
      <c r="P14" s="3" t="s">
        <v>30</v>
      </c>
      <c r="Q14" s="5">
        <v>123859487.8</v>
      </c>
    </row>
    <row r="15" spans="1:17" x14ac:dyDescent="0.35">
      <c r="A15" s="27">
        <v>46141</v>
      </c>
      <c r="B15" s="3">
        <v>252606</v>
      </c>
      <c r="C15" s="23" t="s">
        <v>18</v>
      </c>
      <c r="D15" s="3" t="s">
        <v>31</v>
      </c>
      <c r="E15" s="3" t="s">
        <v>20</v>
      </c>
      <c r="F15" s="4">
        <v>0.62987268518518513</v>
      </c>
      <c r="G15" s="3">
        <v>80</v>
      </c>
      <c r="H15" s="23" t="s">
        <v>52</v>
      </c>
      <c r="I15" s="34">
        <v>12946100.439999999</v>
      </c>
      <c r="J15" s="5">
        <v>0</v>
      </c>
      <c r="K15" s="3">
        <v>8000875655</v>
      </c>
      <c r="L15" s="3" t="s">
        <v>53</v>
      </c>
      <c r="M15" s="3" t="s">
        <v>48</v>
      </c>
      <c r="N15" s="3">
        <v>76</v>
      </c>
      <c r="O15" s="2">
        <v>46141</v>
      </c>
      <c r="P15" s="3" t="s">
        <v>30</v>
      </c>
      <c r="Q15" s="5">
        <v>136857372.63999999</v>
      </c>
    </row>
    <row r="16" spans="1:17" x14ac:dyDescent="0.35">
      <c r="A16" s="27">
        <v>46141</v>
      </c>
      <c r="B16" s="3">
        <v>252605</v>
      </c>
      <c r="C16" s="23" t="s">
        <v>18</v>
      </c>
      <c r="D16" s="3" t="s">
        <v>31</v>
      </c>
      <c r="E16" s="3" t="s">
        <v>20</v>
      </c>
      <c r="F16" s="4">
        <v>0.62987268518518513</v>
      </c>
      <c r="G16" s="3">
        <v>177</v>
      </c>
      <c r="H16" s="23" t="s">
        <v>44</v>
      </c>
      <c r="I16" s="34">
        <v>5530</v>
      </c>
      <c r="J16" s="5">
        <v>0</v>
      </c>
      <c r="K16" s="3"/>
      <c r="L16" s="3" t="s">
        <v>54</v>
      </c>
      <c r="M16" s="3" t="s">
        <v>54</v>
      </c>
      <c r="N16" s="3">
        <v>34</v>
      </c>
      <c r="O16" s="2">
        <v>46141</v>
      </c>
      <c r="P16" s="3" t="s">
        <v>30</v>
      </c>
      <c r="Q16" s="5">
        <v>136863979.96000001</v>
      </c>
    </row>
    <row r="17" spans="1:17" x14ac:dyDescent="0.35">
      <c r="A17" s="27">
        <v>46141</v>
      </c>
      <c r="B17" s="3">
        <v>179926</v>
      </c>
      <c r="C17" s="23" t="s">
        <v>34</v>
      </c>
      <c r="D17" s="3" t="s">
        <v>55</v>
      </c>
      <c r="E17" s="3" t="s">
        <v>20</v>
      </c>
      <c r="F17" s="4">
        <v>0.58759259259259256</v>
      </c>
      <c r="G17" s="3">
        <v>0</v>
      </c>
      <c r="H17" s="23" t="s">
        <v>36</v>
      </c>
      <c r="I17" s="34">
        <v>6000000</v>
      </c>
      <c r="J17" s="5">
        <v>0</v>
      </c>
      <c r="K17" s="3"/>
      <c r="L17" s="3" t="s">
        <v>56</v>
      </c>
      <c r="M17" s="3" t="s">
        <v>57</v>
      </c>
      <c r="N17" s="3">
        <v>16289</v>
      </c>
      <c r="O17" s="2">
        <v>46141</v>
      </c>
      <c r="P17" s="3" t="s">
        <v>58</v>
      </c>
      <c r="Q17" s="5">
        <v>130863979.95999999</v>
      </c>
    </row>
    <row r="18" spans="1:17" x14ac:dyDescent="0.35">
      <c r="A18" s="27">
        <v>46141</v>
      </c>
      <c r="B18" s="3">
        <v>13535650</v>
      </c>
      <c r="C18" s="23" t="s">
        <v>25</v>
      </c>
      <c r="D18" s="3" t="s">
        <v>59</v>
      </c>
      <c r="E18" s="3" t="s">
        <v>20</v>
      </c>
      <c r="F18" s="4">
        <v>0.57912037037037034</v>
      </c>
      <c r="G18" s="3">
        <v>6</v>
      </c>
      <c r="H18" s="23" t="s">
        <v>60</v>
      </c>
      <c r="I18" s="34">
        <v>5377326</v>
      </c>
      <c r="J18" s="5">
        <v>0</v>
      </c>
      <c r="K18" s="3">
        <v>79602750</v>
      </c>
      <c r="L18" s="3" t="s">
        <v>61</v>
      </c>
      <c r="M18" s="3" t="s">
        <v>62</v>
      </c>
      <c r="N18" s="3">
        <v>2266</v>
      </c>
      <c r="O18" s="2">
        <v>46141</v>
      </c>
      <c r="P18" s="3" t="s">
        <v>30</v>
      </c>
      <c r="Q18" s="5">
        <v>125486653.95999999</v>
      </c>
    </row>
    <row r="19" spans="1:17" x14ac:dyDescent="0.35">
      <c r="A19" s="27">
        <v>46141</v>
      </c>
      <c r="B19" s="3">
        <v>393041</v>
      </c>
      <c r="C19" s="23" t="s">
        <v>34</v>
      </c>
      <c r="D19" s="3" t="s">
        <v>63</v>
      </c>
      <c r="E19" s="3" t="s">
        <v>20</v>
      </c>
      <c r="F19" s="4">
        <v>0.51363425925925921</v>
      </c>
      <c r="G19" s="3">
        <v>0</v>
      </c>
      <c r="H19" s="23" t="s">
        <v>36</v>
      </c>
      <c r="I19" s="34">
        <v>830590</v>
      </c>
      <c r="J19" s="5">
        <v>0</v>
      </c>
      <c r="K19" s="3"/>
      <c r="L19" s="3" t="s">
        <v>37</v>
      </c>
      <c r="M19" s="3" t="s">
        <v>38</v>
      </c>
      <c r="N19" s="3">
        <v>10575</v>
      </c>
      <c r="O19" s="2">
        <v>46141</v>
      </c>
      <c r="P19" s="3" t="s">
        <v>39</v>
      </c>
      <c r="Q19" s="5">
        <v>124656063.95999999</v>
      </c>
    </row>
    <row r="20" spans="1:17" x14ac:dyDescent="0.35">
      <c r="A20" s="27">
        <v>46141</v>
      </c>
      <c r="B20" s="3">
        <v>676818</v>
      </c>
      <c r="C20" s="23" t="s">
        <v>34</v>
      </c>
      <c r="D20" s="3" t="s">
        <v>55</v>
      </c>
      <c r="E20" s="3" t="s">
        <v>20</v>
      </c>
      <c r="F20" s="4">
        <v>0.48659722222222224</v>
      </c>
      <c r="G20" s="3">
        <v>0</v>
      </c>
      <c r="H20" s="23" t="s">
        <v>36</v>
      </c>
      <c r="I20" s="34">
        <v>27106866</v>
      </c>
      <c r="J20" s="5">
        <v>0</v>
      </c>
      <c r="K20" s="3"/>
      <c r="L20" s="3" t="s">
        <v>64</v>
      </c>
      <c r="M20" s="3" t="s">
        <v>65</v>
      </c>
      <c r="N20" s="3">
        <v>16289</v>
      </c>
      <c r="O20" s="2">
        <v>46141</v>
      </c>
      <c r="P20" s="3" t="s">
        <v>58</v>
      </c>
      <c r="Q20" s="5">
        <v>97549197.959999993</v>
      </c>
    </row>
    <row r="21" spans="1:17" ht="29" x14ac:dyDescent="0.35">
      <c r="A21" s="27">
        <v>46141</v>
      </c>
      <c r="B21" s="3">
        <v>609335</v>
      </c>
      <c r="C21" s="23" t="s">
        <v>25</v>
      </c>
      <c r="D21" s="3" t="s">
        <v>49</v>
      </c>
      <c r="E21" s="3" t="s">
        <v>20</v>
      </c>
      <c r="F21" s="4">
        <v>0.37562499999999999</v>
      </c>
      <c r="G21" s="3">
        <v>80</v>
      </c>
      <c r="H21" s="23" t="s">
        <v>66</v>
      </c>
      <c r="I21" s="34">
        <v>2460000</v>
      </c>
      <c r="J21" s="5">
        <v>0</v>
      </c>
      <c r="K21" s="3">
        <v>9011300131</v>
      </c>
      <c r="L21" s="3" t="s">
        <v>67</v>
      </c>
      <c r="M21" s="3" t="s">
        <v>68</v>
      </c>
      <c r="N21" s="3">
        <v>4527</v>
      </c>
      <c r="O21" s="2">
        <v>46141</v>
      </c>
      <c r="P21" s="3" t="s">
        <v>30</v>
      </c>
      <c r="Q21" s="5">
        <v>95089197.959999993</v>
      </c>
    </row>
    <row r="22" spans="1:17" x14ac:dyDescent="0.35">
      <c r="A22" s="27">
        <v>46141</v>
      </c>
      <c r="B22" s="3">
        <v>908528</v>
      </c>
      <c r="C22" s="23" t="s">
        <v>18</v>
      </c>
      <c r="D22" s="3" t="s">
        <v>31</v>
      </c>
      <c r="E22" s="3" t="s">
        <v>20</v>
      </c>
      <c r="F22" s="4">
        <v>0.37216435185185187</v>
      </c>
      <c r="G22" s="3">
        <v>80</v>
      </c>
      <c r="H22" s="23" t="s">
        <v>69</v>
      </c>
      <c r="I22" s="34">
        <v>6570176</v>
      </c>
      <c r="J22" s="5">
        <v>0</v>
      </c>
      <c r="K22" s="3">
        <v>8600757871</v>
      </c>
      <c r="L22" s="3" t="s">
        <v>70</v>
      </c>
      <c r="M22" s="3" t="s">
        <v>48</v>
      </c>
      <c r="N22" s="3">
        <v>86</v>
      </c>
      <c r="O22" s="2">
        <v>46141</v>
      </c>
      <c r="P22" s="3" t="s">
        <v>30</v>
      </c>
      <c r="Q22" s="5">
        <v>101685654.66</v>
      </c>
    </row>
    <row r="23" spans="1:17" x14ac:dyDescent="0.35">
      <c r="A23" s="27">
        <v>46141</v>
      </c>
      <c r="B23" s="3">
        <v>908527</v>
      </c>
      <c r="C23" s="23" t="s">
        <v>18</v>
      </c>
      <c r="D23" s="3" t="s">
        <v>31</v>
      </c>
      <c r="E23" s="3" t="s">
        <v>20</v>
      </c>
      <c r="F23" s="4">
        <v>0.37216435185185187</v>
      </c>
      <c r="G23" s="3">
        <v>177</v>
      </c>
      <c r="H23" s="23" t="s">
        <v>44</v>
      </c>
      <c r="I23" s="34">
        <v>5530</v>
      </c>
      <c r="J23" s="5">
        <v>0</v>
      </c>
      <c r="K23" s="3"/>
      <c r="L23" s="3" t="s">
        <v>71</v>
      </c>
      <c r="M23" s="3" t="s">
        <v>71</v>
      </c>
      <c r="N23" s="3">
        <v>9</v>
      </c>
      <c r="O23" s="2">
        <v>46141</v>
      </c>
      <c r="P23" s="3" t="s">
        <v>30</v>
      </c>
      <c r="Q23" s="5">
        <v>101692261.98</v>
      </c>
    </row>
    <row r="24" spans="1:17" x14ac:dyDescent="0.35">
      <c r="A24" s="27">
        <v>46141</v>
      </c>
      <c r="B24" s="3">
        <v>1002</v>
      </c>
      <c r="C24" s="23" t="s">
        <v>25</v>
      </c>
      <c r="D24" s="3" t="s">
        <v>72</v>
      </c>
      <c r="E24" s="3" t="s">
        <v>20</v>
      </c>
      <c r="F24" s="4">
        <v>0.31252314814814813</v>
      </c>
      <c r="G24" s="3">
        <v>349</v>
      </c>
      <c r="H24" s="23" t="s">
        <v>73</v>
      </c>
      <c r="I24" s="34">
        <v>390477</v>
      </c>
      <c r="J24" s="5">
        <v>0</v>
      </c>
      <c r="K24" s="3"/>
      <c r="L24" s="3" t="s">
        <v>29</v>
      </c>
      <c r="M24" s="3" t="s">
        <v>29</v>
      </c>
      <c r="N24" s="3">
        <v>821</v>
      </c>
      <c r="O24" s="2">
        <v>46140</v>
      </c>
      <c r="P24" s="3" t="s">
        <v>30</v>
      </c>
      <c r="Q24" s="5">
        <v>101301784.98</v>
      </c>
    </row>
    <row r="25" spans="1:17" x14ac:dyDescent="0.35">
      <c r="A25" s="27">
        <v>46140</v>
      </c>
      <c r="B25" s="3">
        <v>924514</v>
      </c>
      <c r="C25" s="23" t="s">
        <v>34</v>
      </c>
      <c r="D25" s="3" t="s">
        <v>55</v>
      </c>
      <c r="E25" s="3" t="s">
        <v>20</v>
      </c>
      <c r="F25" s="4">
        <v>0.58983796296296298</v>
      </c>
      <c r="G25" s="3">
        <v>0</v>
      </c>
      <c r="H25" s="23" t="s">
        <v>36</v>
      </c>
      <c r="I25" s="34">
        <v>6274493</v>
      </c>
      <c r="J25" s="5">
        <v>0</v>
      </c>
      <c r="K25" s="3"/>
      <c r="L25" s="3" t="s">
        <v>56</v>
      </c>
      <c r="M25" s="3" t="s">
        <v>57</v>
      </c>
      <c r="N25" s="3">
        <v>16289</v>
      </c>
      <c r="O25" s="2">
        <v>46140</v>
      </c>
      <c r="P25" s="3" t="s">
        <v>58</v>
      </c>
      <c r="Q25" s="5">
        <v>95027291.980000004</v>
      </c>
    </row>
    <row r="26" spans="1:17" x14ac:dyDescent="0.35">
      <c r="A26" s="27">
        <v>46140</v>
      </c>
      <c r="B26" s="3">
        <v>431500</v>
      </c>
      <c r="C26" s="23" t="s">
        <v>34</v>
      </c>
      <c r="D26" s="3" t="s">
        <v>74</v>
      </c>
      <c r="E26" s="3" t="s">
        <v>20</v>
      </c>
      <c r="F26" s="4">
        <v>0.51304398148148145</v>
      </c>
      <c r="G26" s="3">
        <v>0</v>
      </c>
      <c r="H26" s="23" t="s">
        <v>36</v>
      </c>
      <c r="I26" s="34">
        <v>1000993</v>
      </c>
      <c r="J26" s="5">
        <v>0</v>
      </c>
      <c r="K26" s="3"/>
      <c r="L26" s="3" t="s">
        <v>75</v>
      </c>
      <c r="M26" s="3" t="s">
        <v>76</v>
      </c>
      <c r="N26" s="3">
        <v>11731</v>
      </c>
      <c r="O26" s="2">
        <v>46140</v>
      </c>
      <c r="P26" s="3" t="s">
        <v>30</v>
      </c>
      <c r="Q26" s="5">
        <v>94026298.980000004</v>
      </c>
    </row>
    <row r="27" spans="1:17" x14ac:dyDescent="0.35">
      <c r="A27" s="27">
        <v>46140</v>
      </c>
      <c r="B27" s="3">
        <v>469600</v>
      </c>
      <c r="C27" s="23" t="s">
        <v>25</v>
      </c>
      <c r="D27" s="3" t="s">
        <v>26</v>
      </c>
      <c r="E27" s="3" t="s">
        <v>20</v>
      </c>
      <c r="F27" s="4">
        <v>0.48672453703703705</v>
      </c>
      <c r="G27" s="3">
        <v>300</v>
      </c>
      <c r="H27" s="23" t="s">
        <v>27</v>
      </c>
      <c r="I27" s="34">
        <v>156842</v>
      </c>
      <c r="J27" s="5">
        <v>0</v>
      </c>
      <c r="K27" s="3"/>
      <c r="L27" s="3" t="s">
        <v>77</v>
      </c>
      <c r="M27" s="3" t="s">
        <v>29</v>
      </c>
      <c r="N27" s="3">
        <v>1387</v>
      </c>
      <c r="O27" s="2">
        <v>46140</v>
      </c>
      <c r="P27" s="3" t="s">
        <v>30</v>
      </c>
      <c r="Q27" s="5">
        <v>93869456.980000004</v>
      </c>
    </row>
    <row r="28" spans="1:17" x14ac:dyDescent="0.35">
      <c r="A28" s="27">
        <v>46139</v>
      </c>
      <c r="B28" s="3">
        <v>99999999</v>
      </c>
      <c r="C28" s="23" t="s">
        <v>18</v>
      </c>
      <c r="D28" s="3" t="s">
        <v>19</v>
      </c>
      <c r="E28" s="3" t="s">
        <v>20</v>
      </c>
      <c r="F28" s="4">
        <v>0.99998842592592596</v>
      </c>
      <c r="G28" s="3">
        <v>41</v>
      </c>
      <c r="H28" s="23" t="s">
        <v>21</v>
      </c>
      <c r="I28" s="34">
        <v>1475.7</v>
      </c>
      <c r="J28" s="5">
        <v>0</v>
      </c>
      <c r="K28" s="3"/>
      <c r="L28" s="3" t="s">
        <v>22</v>
      </c>
      <c r="M28" s="3" t="s">
        <v>22</v>
      </c>
      <c r="N28" s="3">
        <v>0</v>
      </c>
      <c r="O28" s="2">
        <v>46139</v>
      </c>
      <c r="P28" s="3" t="s">
        <v>23</v>
      </c>
      <c r="Q28" s="5">
        <v>0</v>
      </c>
    </row>
    <row r="29" spans="1:17" x14ac:dyDescent="0.35">
      <c r="A29" s="27">
        <v>46139</v>
      </c>
      <c r="B29" s="3">
        <v>99999998</v>
      </c>
      <c r="C29" s="23" t="s">
        <v>18</v>
      </c>
      <c r="D29" s="3" t="s">
        <v>19</v>
      </c>
      <c r="E29" s="3" t="s">
        <v>20</v>
      </c>
      <c r="F29" s="4">
        <v>0.99998842592592596</v>
      </c>
      <c r="G29" s="3">
        <v>40</v>
      </c>
      <c r="H29" s="23" t="s">
        <v>24</v>
      </c>
      <c r="I29" s="34">
        <v>1425</v>
      </c>
      <c r="J29" s="5">
        <v>0</v>
      </c>
      <c r="K29" s="3"/>
      <c r="L29" s="3" t="s">
        <v>22</v>
      </c>
      <c r="M29" s="3" t="s">
        <v>22</v>
      </c>
      <c r="N29" s="3">
        <v>0</v>
      </c>
      <c r="O29" s="2">
        <v>46139</v>
      </c>
      <c r="P29" s="3" t="s">
        <v>23</v>
      </c>
      <c r="Q29" s="5">
        <v>0</v>
      </c>
    </row>
    <row r="30" spans="1:17" x14ac:dyDescent="0.35">
      <c r="A30" s="27">
        <v>46139</v>
      </c>
      <c r="B30" s="3">
        <v>43900</v>
      </c>
      <c r="C30" s="23" t="s">
        <v>25</v>
      </c>
      <c r="D30" s="3" t="s">
        <v>26</v>
      </c>
      <c r="E30" s="3" t="s">
        <v>20</v>
      </c>
      <c r="F30" s="4">
        <v>0.89333333333333331</v>
      </c>
      <c r="G30" s="3">
        <v>300</v>
      </c>
      <c r="H30" s="23" t="s">
        <v>27</v>
      </c>
      <c r="I30" s="34">
        <v>500000</v>
      </c>
      <c r="J30" s="5">
        <v>0</v>
      </c>
      <c r="K30" s="3"/>
      <c r="L30" s="3" t="s">
        <v>78</v>
      </c>
      <c r="M30" s="3" t="s">
        <v>29</v>
      </c>
      <c r="N30" s="3">
        <v>1387</v>
      </c>
      <c r="O30" s="2">
        <v>46139</v>
      </c>
      <c r="P30" s="3" t="s">
        <v>30</v>
      </c>
      <c r="Q30" s="5">
        <v>93369456.980000004</v>
      </c>
    </row>
    <row r="31" spans="1:17" x14ac:dyDescent="0.35">
      <c r="A31" s="27">
        <v>46139</v>
      </c>
      <c r="B31" s="3">
        <v>9547432</v>
      </c>
      <c r="C31" s="23" t="s">
        <v>18</v>
      </c>
      <c r="D31" s="3" t="s">
        <v>31</v>
      </c>
      <c r="E31" s="3" t="s">
        <v>20</v>
      </c>
      <c r="F31" s="4">
        <v>0.62708333333333333</v>
      </c>
      <c r="G31" s="3">
        <v>349</v>
      </c>
      <c r="H31" s="23" t="s">
        <v>79</v>
      </c>
      <c r="I31" s="34">
        <v>360000</v>
      </c>
      <c r="J31" s="5">
        <v>0</v>
      </c>
      <c r="K31" s="3">
        <v>1017225908</v>
      </c>
      <c r="L31" s="3" t="s">
        <v>80</v>
      </c>
      <c r="M31" s="3" t="s">
        <v>48</v>
      </c>
      <c r="N31" s="3">
        <v>4412</v>
      </c>
      <c r="O31" s="2">
        <v>46139</v>
      </c>
      <c r="P31" s="3" t="s">
        <v>30</v>
      </c>
      <c r="Q31" s="5">
        <v>93730896.980000004</v>
      </c>
    </row>
    <row r="32" spans="1:17" x14ac:dyDescent="0.35">
      <c r="A32" s="27">
        <v>46139</v>
      </c>
      <c r="B32" s="3">
        <v>547431</v>
      </c>
      <c r="C32" s="23" t="s">
        <v>18</v>
      </c>
      <c r="D32" s="3" t="s">
        <v>31</v>
      </c>
      <c r="E32" s="3" t="s">
        <v>20</v>
      </c>
      <c r="F32" s="4">
        <v>0.62708333333333333</v>
      </c>
      <c r="G32" s="3">
        <v>351</v>
      </c>
      <c r="H32" s="23" t="s">
        <v>81</v>
      </c>
      <c r="I32" s="34">
        <v>7500</v>
      </c>
      <c r="J32" s="5">
        <v>0</v>
      </c>
      <c r="K32" s="3"/>
      <c r="L32" s="3" t="s">
        <v>82</v>
      </c>
      <c r="M32" s="3" t="s">
        <v>82</v>
      </c>
      <c r="N32" s="3">
        <v>94</v>
      </c>
      <c r="O32" s="2">
        <v>46139</v>
      </c>
      <c r="P32" s="3" t="s">
        <v>30</v>
      </c>
      <c r="Q32" s="5">
        <v>93739857.680000007</v>
      </c>
    </row>
    <row r="33" spans="1:17" x14ac:dyDescent="0.35">
      <c r="A33" s="27">
        <v>46139</v>
      </c>
      <c r="B33" s="3">
        <v>360732</v>
      </c>
      <c r="C33" s="23" t="s">
        <v>34</v>
      </c>
      <c r="D33" s="3" t="s">
        <v>83</v>
      </c>
      <c r="E33" s="3" t="s">
        <v>20</v>
      </c>
      <c r="F33" s="4">
        <v>0.52361111111111114</v>
      </c>
      <c r="G33" s="3">
        <v>0</v>
      </c>
      <c r="H33" s="23" t="s">
        <v>36</v>
      </c>
      <c r="I33" s="34">
        <v>1333654.99</v>
      </c>
      <c r="J33" s="5">
        <v>0</v>
      </c>
      <c r="K33" s="3"/>
      <c r="L33" s="3" t="s">
        <v>37</v>
      </c>
      <c r="M33" s="3" t="s">
        <v>38</v>
      </c>
      <c r="N33" s="3">
        <v>17119</v>
      </c>
      <c r="O33" s="2">
        <v>46139</v>
      </c>
      <c r="P33" s="3" t="s">
        <v>39</v>
      </c>
      <c r="Q33" s="5">
        <v>92406202.689999998</v>
      </c>
    </row>
    <row r="34" spans="1:17" x14ac:dyDescent="0.35">
      <c r="A34" s="27">
        <v>46139</v>
      </c>
      <c r="B34" s="3">
        <v>329286</v>
      </c>
      <c r="C34" s="23" t="s">
        <v>34</v>
      </c>
      <c r="D34" s="3" t="s">
        <v>74</v>
      </c>
      <c r="E34" s="3" t="s">
        <v>20</v>
      </c>
      <c r="F34" s="4">
        <v>0.52061342592592597</v>
      </c>
      <c r="G34" s="3">
        <v>0</v>
      </c>
      <c r="H34" s="23" t="s">
        <v>36</v>
      </c>
      <c r="I34" s="34">
        <v>876138</v>
      </c>
      <c r="J34" s="5">
        <v>0</v>
      </c>
      <c r="K34" s="3"/>
      <c r="L34" s="3" t="s">
        <v>75</v>
      </c>
      <c r="M34" s="3" t="s">
        <v>76</v>
      </c>
      <c r="N34" s="3">
        <v>11729</v>
      </c>
      <c r="O34" s="2">
        <v>46139</v>
      </c>
      <c r="P34" s="3" t="s">
        <v>30</v>
      </c>
      <c r="Q34" s="5">
        <v>91530064.689999998</v>
      </c>
    </row>
    <row r="35" spans="1:17" x14ac:dyDescent="0.35">
      <c r="A35" s="27">
        <v>46139</v>
      </c>
      <c r="B35" s="3">
        <v>140934</v>
      </c>
      <c r="C35" s="23" t="s">
        <v>25</v>
      </c>
      <c r="D35" s="3" t="s">
        <v>49</v>
      </c>
      <c r="E35" s="3" t="s">
        <v>20</v>
      </c>
      <c r="F35" s="4">
        <v>0.49239583333333331</v>
      </c>
      <c r="G35" s="3">
        <v>6</v>
      </c>
      <c r="H35" s="23" t="s">
        <v>84</v>
      </c>
      <c r="I35" s="34">
        <v>2699336</v>
      </c>
      <c r="J35" s="5">
        <v>0</v>
      </c>
      <c r="K35" s="3">
        <v>9010979546</v>
      </c>
      <c r="L35" s="3" t="s">
        <v>85</v>
      </c>
      <c r="M35" s="3" t="s">
        <v>29</v>
      </c>
      <c r="N35" s="3">
        <v>4545</v>
      </c>
      <c r="O35" s="2">
        <v>46139</v>
      </c>
      <c r="P35" s="3" t="s">
        <v>30</v>
      </c>
      <c r="Q35" s="5">
        <v>88830728.689999998</v>
      </c>
    </row>
    <row r="36" spans="1:17" x14ac:dyDescent="0.35">
      <c r="A36" s="27">
        <v>46139</v>
      </c>
      <c r="B36" s="3">
        <v>417810</v>
      </c>
      <c r="C36" s="23" t="s">
        <v>34</v>
      </c>
      <c r="D36" s="3" t="s">
        <v>86</v>
      </c>
      <c r="E36" s="3" t="s">
        <v>20</v>
      </c>
      <c r="F36" s="4">
        <v>0.42040509259259257</v>
      </c>
      <c r="G36" s="3">
        <v>0</v>
      </c>
      <c r="H36" s="23" t="s">
        <v>36</v>
      </c>
      <c r="I36" s="34">
        <v>2699950</v>
      </c>
      <c r="J36" s="5">
        <v>0</v>
      </c>
      <c r="K36" s="3"/>
      <c r="L36" s="3" t="s">
        <v>87</v>
      </c>
      <c r="M36" s="3" t="s">
        <v>88</v>
      </c>
      <c r="N36" s="3">
        <v>13717</v>
      </c>
      <c r="O36" s="2">
        <v>46139</v>
      </c>
      <c r="P36" s="3" t="s">
        <v>30</v>
      </c>
      <c r="Q36" s="5">
        <v>86130778.689999998</v>
      </c>
    </row>
    <row r="37" spans="1:17" ht="29" x14ac:dyDescent="0.35">
      <c r="A37" s="27">
        <v>46137</v>
      </c>
      <c r="B37" s="3">
        <v>981824</v>
      </c>
      <c r="C37" s="23" t="s">
        <v>25</v>
      </c>
      <c r="D37" s="3" t="s">
        <v>49</v>
      </c>
      <c r="E37" s="3" t="s">
        <v>89</v>
      </c>
      <c r="F37" s="4">
        <v>0.51864583333333336</v>
      </c>
      <c r="G37" s="3">
        <v>6</v>
      </c>
      <c r="H37" s="23" t="s">
        <v>90</v>
      </c>
      <c r="I37" s="34">
        <v>3961562</v>
      </c>
      <c r="J37" s="5">
        <v>0</v>
      </c>
      <c r="K37" s="3">
        <v>9016543579</v>
      </c>
      <c r="L37" s="3" t="s">
        <v>91</v>
      </c>
      <c r="M37" s="3" t="s">
        <v>29</v>
      </c>
      <c r="N37" s="3">
        <v>4545</v>
      </c>
      <c r="O37" s="2">
        <v>46137</v>
      </c>
      <c r="P37" s="3" t="s">
        <v>30</v>
      </c>
      <c r="Q37" s="5">
        <v>82169216.689999998</v>
      </c>
    </row>
    <row r="38" spans="1:17" x14ac:dyDescent="0.35">
      <c r="A38" s="27">
        <v>46136</v>
      </c>
      <c r="B38" s="3">
        <v>99999999</v>
      </c>
      <c r="C38" s="23" t="s">
        <v>18</v>
      </c>
      <c r="D38" s="3" t="s">
        <v>19</v>
      </c>
      <c r="E38" s="3" t="s">
        <v>20</v>
      </c>
      <c r="F38" s="4">
        <v>0.99998842592592596</v>
      </c>
      <c r="G38" s="3">
        <v>41</v>
      </c>
      <c r="H38" s="23" t="s">
        <v>21</v>
      </c>
      <c r="I38" s="34">
        <v>192063.52</v>
      </c>
      <c r="J38" s="5">
        <v>0</v>
      </c>
      <c r="K38" s="3"/>
      <c r="L38" s="3" t="s">
        <v>22</v>
      </c>
      <c r="M38" s="3" t="s">
        <v>22</v>
      </c>
      <c r="N38" s="3">
        <v>0</v>
      </c>
      <c r="O38" s="2">
        <v>46136</v>
      </c>
      <c r="P38" s="3" t="s">
        <v>23</v>
      </c>
      <c r="Q38" s="5">
        <v>0</v>
      </c>
    </row>
    <row r="39" spans="1:17" x14ac:dyDescent="0.35">
      <c r="A39" s="27">
        <v>46136</v>
      </c>
      <c r="B39" s="3">
        <v>190123</v>
      </c>
      <c r="C39" s="23" t="s">
        <v>18</v>
      </c>
      <c r="D39" s="3" t="s">
        <v>72</v>
      </c>
      <c r="E39" s="3" t="s">
        <v>20</v>
      </c>
      <c r="F39" s="4">
        <v>0.79244212962962968</v>
      </c>
      <c r="G39" s="3">
        <v>61</v>
      </c>
      <c r="H39" s="23" t="s">
        <v>92</v>
      </c>
      <c r="I39" s="34">
        <v>48015881</v>
      </c>
      <c r="J39" s="5">
        <v>0</v>
      </c>
      <c r="K39" s="3"/>
      <c r="L39" s="3" t="s">
        <v>93</v>
      </c>
      <c r="M39" s="3" t="s">
        <v>94</v>
      </c>
      <c r="N39" s="3">
        <v>572</v>
      </c>
      <c r="O39" s="2">
        <v>46136</v>
      </c>
      <c r="P39" s="3" t="s">
        <v>30</v>
      </c>
      <c r="Q39" s="5">
        <v>130377161.20999999</v>
      </c>
    </row>
    <row r="40" spans="1:17" x14ac:dyDescent="0.35">
      <c r="A40" s="27">
        <v>46136</v>
      </c>
      <c r="B40" s="3">
        <v>833788</v>
      </c>
      <c r="C40" s="23" t="s">
        <v>34</v>
      </c>
      <c r="D40" s="3" t="s">
        <v>95</v>
      </c>
      <c r="E40" s="3" t="s">
        <v>20</v>
      </c>
      <c r="F40" s="4">
        <v>0.62306712962962962</v>
      </c>
      <c r="G40" s="3">
        <v>0</v>
      </c>
      <c r="H40" s="23" t="s">
        <v>36</v>
      </c>
      <c r="I40" s="34">
        <v>943194</v>
      </c>
      <c r="J40" s="5">
        <v>0</v>
      </c>
      <c r="K40" s="3"/>
      <c r="L40" s="3" t="s">
        <v>96</v>
      </c>
      <c r="M40" s="3" t="s">
        <v>97</v>
      </c>
      <c r="N40" s="3">
        <v>10169</v>
      </c>
      <c r="O40" s="2">
        <v>46136</v>
      </c>
      <c r="P40" s="3" t="s">
        <v>30</v>
      </c>
      <c r="Q40" s="5">
        <v>129433967.20999999</v>
      </c>
    </row>
    <row r="41" spans="1:17" x14ac:dyDescent="0.35">
      <c r="A41" s="27">
        <v>46136</v>
      </c>
      <c r="B41" s="3">
        <v>437866</v>
      </c>
      <c r="C41" s="23" t="s">
        <v>34</v>
      </c>
      <c r="D41" s="3" t="s">
        <v>55</v>
      </c>
      <c r="E41" s="3" t="s">
        <v>20</v>
      </c>
      <c r="F41" s="4">
        <v>0.59081018518518513</v>
      </c>
      <c r="G41" s="3">
        <v>0</v>
      </c>
      <c r="H41" s="23" t="s">
        <v>36</v>
      </c>
      <c r="I41" s="34">
        <v>20000000</v>
      </c>
      <c r="J41" s="5">
        <v>0</v>
      </c>
      <c r="K41" s="3"/>
      <c r="L41" s="3" t="s">
        <v>64</v>
      </c>
      <c r="M41" s="3" t="s">
        <v>98</v>
      </c>
      <c r="N41" s="3">
        <v>16287</v>
      </c>
      <c r="O41" s="2">
        <v>46136</v>
      </c>
      <c r="P41" s="3" t="s">
        <v>58</v>
      </c>
      <c r="Q41" s="5">
        <v>109433967.20999999</v>
      </c>
    </row>
    <row r="42" spans="1:17" x14ac:dyDescent="0.35">
      <c r="A42" s="27">
        <v>46136</v>
      </c>
      <c r="B42" s="3">
        <v>641170</v>
      </c>
      <c r="C42" s="23" t="s">
        <v>34</v>
      </c>
      <c r="D42" s="3" t="s">
        <v>74</v>
      </c>
      <c r="E42" s="3" t="s">
        <v>20</v>
      </c>
      <c r="F42" s="4">
        <v>0.56975694444444447</v>
      </c>
      <c r="G42" s="3">
        <v>0</v>
      </c>
      <c r="H42" s="23" t="s">
        <v>36</v>
      </c>
      <c r="I42" s="34">
        <v>7809</v>
      </c>
      <c r="J42" s="5">
        <v>0</v>
      </c>
      <c r="K42" s="3"/>
      <c r="L42" s="3" t="s">
        <v>75</v>
      </c>
      <c r="M42" s="3" t="s">
        <v>76</v>
      </c>
      <c r="N42" s="3">
        <v>11731</v>
      </c>
      <c r="O42" s="2">
        <v>46136</v>
      </c>
      <c r="P42" s="3" t="s">
        <v>30</v>
      </c>
      <c r="Q42" s="5">
        <v>109426158.20999999</v>
      </c>
    </row>
    <row r="43" spans="1:17" x14ac:dyDescent="0.35">
      <c r="A43" s="27">
        <v>46136</v>
      </c>
      <c r="B43" s="3">
        <v>771160</v>
      </c>
      <c r="C43" s="23" t="s">
        <v>34</v>
      </c>
      <c r="D43" s="3" t="s">
        <v>74</v>
      </c>
      <c r="E43" s="3" t="s">
        <v>20</v>
      </c>
      <c r="F43" s="4">
        <v>0.56942129629629634</v>
      </c>
      <c r="G43" s="3">
        <v>0</v>
      </c>
      <c r="H43" s="23" t="s">
        <v>36</v>
      </c>
      <c r="I43" s="34">
        <v>342363</v>
      </c>
      <c r="J43" s="5">
        <v>0</v>
      </c>
      <c r="K43" s="3"/>
      <c r="L43" s="3" t="s">
        <v>75</v>
      </c>
      <c r="M43" s="3" t="s">
        <v>76</v>
      </c>
      <c r="N43" s="3">
        <v>11731</v>
      </c>
      <c r="O43" s="2">
        <v>46136</v>
      </c>
      <c r="P43" s="3" t="s">
        <v>30</v>
      </c>
      <c r="Q43" s="5">
        <v>109083795.20999999</v>
      </c>
    </row>
    <row r="44" spans="1:17" x14ac:dyDescent="0.35">
      <c r="A44" s="27">
        <v>46136</v>
      </c>
      <c r="B44" s="3">
        <v>210144</v>
      </c>
      <c r="C44" s="23" t="s">
        <v>34</v>
      </c>
      <c r="D44" s="3" t="s">
        <v>99</v>
      </c>
      <c r="E44" s="3" t="s">
        <v>20</v>
      </c>
      <c r="F44" s="4">
        <v>0.5590046296296296</v>
      </c>
      <c r="G44" s="3">
        <v>0</v>
      </c>
      <c r="H44" s="23" t="s">
        <v>36</v>
      </c>
      <c r="I44" s="34">
        <v>1434485.5</v>
      </c>
      <c r="J44" s="5">
        <v>0</v>
      </c>
      <c r="K44" s="3"/>
      <c r="L44" s="3" t="s">
        <v>94</v>
      </c>
      <c r="M44" s="3" t="s">
        <v>100</v>
      </c>
      <c r="N44" s="3">
        <v>14074</v>
      </c>
      <c r="O44" s="2">
        <v>46136</v>
      </c>
      <c r="P44" s="3" t="s">
        <v>30</v>
      </c>
      <c r="Q44" s="5">
        <v>107649309.70999999</v>
      </c>
    </row>
    <row r="45" spans="1:17" ht="29" x14ac:dyDescent="0.35">
      <c r="A45" s="27">
        <v>46136</v>
      </c>
      <c r="B45" s="3">
        <v>957930</v>
      </c>
      <c r="C45" s="23" t="s">
        <v>34</v>
      </c>
      <c r="D45" s="3" t="s">
        <v>101</v>
      </c>
      <c r="E45" s="3" t="s">
        <v>20</v>
      </c>
      <c r="F45" s="4">
        <v>0.42026620370370371</v>
      </c>
      <c r="G45" s="3">
        <v>0</v>
      </c>
      <c r="H45" s="23" t="s">
        <v>36</v>
      </c>
      <c r="I45" s="34">
        <v>2516000</v>
      </c>
      <c r="J45" s="5">
        <v>0</v>
      </c>
      <c r="K45" s="3"/>
      <c r="L45" s="3" t="s">
        <v>102</v>
      </c>
      <c r="M45" s="3" t="s">
        <v>103</v>
      </c>
      <c r="N45" s="3">
        <v>15315</v>
      </c>
      <c r="O45" s="2">
        <v>46136</v>
      </c>
      <c r="P45" s="3" t="s">
        <v>30</v>
      </c>
      <c r="Q45" s="5">
        <v>105133309.70999999</v>
      </c>
    </row>
    <row r="46" spans="1:17" ht="29" x14ac:dyDescent="0.35">
      <c r="A46" s="27">
        <v>46135</v>
      </c>
      <c r="B46" s="3">
        <v>536781</v>
      </c>
      <c r="C46" s="23" t="s">
        <v>25</v>
      </c>
      <c r="D46" s="3" t="s">
        <v>49</v>
      </c>
      <c r="E46" s="3" t="s">
        <v>20</v>
      </c>
      <c r="F46" s="4">
        <v>0.71234953703703707</v>
      </c>
      <c r="G46" s="3">
        <v>6</v>
      </c>
      <c r="H46" s="23" t="s">
        <v>104</v>
      </c>
      <c r="I46" s="34">
        <v>2010750</v>
      </c>
      <c r="J46" s="5">
        <v>0</v>
      </c>
      <c r="K46" s="3">
        <v>9002478445</v>
      </c>
      <c r="L46" s="3" t="s">
        <v>105</v>
      </c>
      <c r="M46" s="3" t="s">
        <v>29</v>
      </c>
      <c r="N46" s="3">
        <v>4512</v>
      </c>
      <c r="O46" s="2">
        <v>46135</v>
      </c>
      <c r="P46" s="3" t="s">
        <v>30</v>
      </c>
      <c r="Q46" s="5">
        <v>103122559.70999999</v>
      </c>
    </row>
    <row r="47" spans="1:17" x14ac:dyDescent="0.35">
      <c r="A47" s="27">
        <v>46135</v>
      </c>
      <c r="B47" s="3">
        <v>11480018</v>
      </c>
      <c r="C47" s="23" t="s">
        <v>25</v>
      </c>
      <c r="D47" s="3" t="s">
        <v>59</v>
      </c>
      <c r="E47" s="3" t="s">
        <v>20</v>
      </c>
      <c r="F47" s="4">
        <v>0.49166666666666664</v>
      </c>
      <c r="G47" s="3">
        <v>6</v>
      </c>
      <c r="H47" s="23" t="s">
        <v>106</v>
      </c>
      <c r="I47" s="34">
        <v>132328</v>
      </c>
      <c r="J47" s="5">
        <v>0</v>
      </c>
      <c r="K47" s="3">
        <v>16770118</v>
      </c>
      <c r="L47" s="3" t="s">
        <v>107</v>
      </c>
      <c r="M47" s="3" t="s">
        <v>108</v>
      </c>
      <c r="N47" s="3">
        <v>2280</v>
      </c>
      <c r="O47" s="2">
        <v>46135</v>
      </c>
      <c r="P47" s="3" t="s">
        <v>30</v>
      </c>
      <c r="Q47" s="5">
        <v>102990231.70999999</v>
      </c>
    </row>
    <row r="48" spans="1:17" x14ac:dyDescent="0.35">
      <c r="A48" s="27">
        <v>46135</v>
      </c>
      <c r="B48" s="3">
        <v>937100</v>
      </c>
      <c r="C48" s="23" t="s">
        <v>25</v>
      </c>
      <c r="D48" s="3" t="s">
        <v>26</v>
      </c>
      <c r="E48" s="3" t="s">
        <v>20</v>
      </c>
      <c r="F48" s="4">
        <v>0.38150462962962961</v>
      </c>
      <c r="G48" s="3">
        <v>300</v>
      </c>
      <c r="H48" s="23" t="s">
        <v>27</v>
      </c>
      <c r="I48" s="34">
        <v>2000000</v>
      </c>
      <c r="J48" s="5">
        <v>0</v>
      </c>
      <c r="K48" s="3"/>
      <c r="L48" s="3" t="s">
        <v>109</v>
      </c>
      <c r="M48" s="3" t="s">
        <v>29</v>
      </c>
      <c r="N48" s="3">
        <v>1387</v>
      </c>
      <c r="O48" s="2">
        <v>46135</v>
      </c>
      <c r="P48" s="3" t="s">
        <v>30</v>
      </c>
      <c r="Q48" s="5">
        <v>100990231.70999999</v>
      </c>
    </row>
    <row r="49" spans="1:17" x14ac:dyDescent="0.35">
      <c r="A49" s="27">
        <v>46135</v>
      </c>
      <c r="B49" s="3">
        <v>337500</v>
      </c>
      <c r="C49" s="23" t="s">
        <v>25</v>
      </c>
      <c r="D49" s="3" t="s">
        <v>26</v>
      </c>
      <c r="E49" s="3" t="s">
        <v>20</v>
      </c>
      <c r="F49" s="4">
        <v>0.36561342592592594</v>
      </c>
      <c r="G49" s="3">
        <v>300</v>
      </c>
      <c r="H49" s="23" t="s">
        <v>27</v>
      </c>
      <c r="I49" s="34">
        <v>3095767</v>
      </c>
      <c r="J49" s="5">
        <v>0</v>
      </c>
      <c r="K49" s="3"/>
      <c r="L49" s="3" t="s">
        <v>110</v>
      </c>
      <c r="M49" s="3" t="s">
        <v>29</v>
      </c>
      <c r="N49" s="3">
        <v>1387</v>
      </c>
      <c r="O49" s="2">
        <v>46135</v>
      </c>
      <c r="P49" s="3" t="s">
        <v>30</v>
      </c>
      <c r="Q49" s="5">
        <v>97894464.709999993</v>
      </c>
    </row>
    <row r="50" spans="1:17" ht="29" x14ac:dyDescent="0.35">
      <c r="A50" s="27">
        <v>46134</v>
      </c>
      <c r="B50" s="3">
        <v>17090502</v>
      </c>
      <c r="C50" s="23" t="s">
        <v>25</v>
      </c>
      <c r="D50" s="3" t="s">
        <v>59</v>
      </c>
      <c r="E50" s="3" t="s">
        <v>20</v>
      </c>
      <c r="F50" s="4">
        <v>0.71464120370370365</v>
      </c>
      <c r="G50" s="3">
        <v>6</v>
      </c>
      <c r="H50" s="23" t="s">
        <v>111</v>
      </c>
      <c r="I50" s="34">
        <v>242358</v>
      </c>
      <c r="J50" s="5">
        <v>0</v>
      </c>
      <c r="K50" s="3">
        <v>52647079</v>
      </c>
      <c r="L50" s="3" t="s">
        <v>112</v>
      </c>
      <c r="M50" s="3" t="s">
        <v>113</v>
      </c>
      <c r="N50" s="3">
        <v>2226</v>
      </c>
      <c r="O50" s="2">
        <v>46134</v>
      </c>
      <c r="P50" s="3" t="s">
        <v>30</v>
      </c>
      <c r="Q50" s="5">
        <v>97652106.709999993</v>
      </c>
    </row>
    <row r="51" spans="1:17" x14ac:dyDescent="0.35">
      <c r="A51" s="27">
        <v>46134</v>
      </c>
      <c r="B51" s="3">
        <v>289779</v>
      </c>
      <c r="C51" s="23" t="s">
        <v>34</v>
      </c>
      <c r="D51" s="3" t="s">
        <v>83</v>
      </c>
      <c r="E51" s="3" t="s">
        <v>20</v>
      </c>
      <c r="F51" s="4">
        <v>0.65722222222222226</v>
      </c>
      <c r="G51" s="3">
        <v>0</v>
      </c>
      <c r="H51" s="23" t="s">
        <v>36</v>
      </c>
      <c r="I51" s="34">
        <v>3426881.68</v>
      </c>
      <c r="J51" s="5">
        <v>0</v>
      </c>
      <c r="K51" s="3"/>
      <c r="L51" s="3" t="s">
        <v>37</v>
      </c>
      <c r="M51" s="3" t="s">
        <v>38</v>
      </c>
      <c r="N51" s="3">
        <v>17120</v>
      </c>
      <c r="O51" s="2">
        <v>46134</v>
      </c>
      <c r="P51" s="3" t="s">
        <v>39</v>
      </c>
      <c r="Q51" s="5">
        <v>94225225.030000001</v>
      </c>
    </row>
    <row r="52" spans="1:17" x14ac:dyDescent="0.35">
      <c r="A52" s="27">
        <v>46134</v>
      </c>
      <c r="B52" s="3">
        <v>515400</v>
      </c>
      <c r="C52" s="23" t="s">
        <v>25</v>
      </c>
      <c r="D52" s="3" t="s">
        <v>26</v>
      </c>
      <c r="E52" s="3" t="s">
        <v>20</v>
      </c>
      <c r="F52" s="4">
        <v>0.58865740740740746</v>
      </c>
      <c r="G52" s="3">
        <v>300</v>
      </c>
      <c r="H52" s="23" t="s">
        <v>27</v>
      </c>
      <c r="I52" s="34">
        <v>155414</v>
      </c>
      <c r="J52" s="5">
        <v>0</v>
      </c>
      <c r="K52" s="3"/>
      <c r="L52" s="3" t="s">
        <v>114</v>
      </c>
      <c r="M52" s="3" t="s">
        <v>29</v>
      </c>
      <c r="N52" s="3">
        <v>1387</v>
      </c>
      <c r="O52" s="2">
        <v>46134</v>
      </c>
      <c r="P52" s="3" t="s">
        <v>30</v>
      </c>
      <c r="Q52" s="5">
        <v>94069811.030000001</v>
      </c>
    </row>
    <row r="53" spans="1:17" x14ac:dyDescent="0.35">
      <c r="A53" s="27">
        <v>46134</v>
      </c>
      <c r="B53" s="3">
        <v>904154</v>
      </c>
      <c r="C53" s="23" t="s">
        <v>34</v>
      </c>
      <c r="D53" s="3" t="s">
        <v>55</v>
      </c>
      <c r="E53" s="3" t="s">
        <v>20</v>
      </c>
      <c r="F53" s="4">
        <v>0.57869212962962968</v>
      </c>
      <c r="G53" s="3">
        <v>0</v>
      </c>
      <c r="H53" s="23" t="s">
        <v>36</v>
      </c>
      <c r="I53" s="34">
        <v>192348</v>
      </c>
      <c r="J53" s="5">
        <v>0</v>
      </c>
      <c r="K53" s="3"/>
      <c r="L53" s="3" t="s">
        <v>56</v>
      </c>
      <c r="M53" s="3" t="s">
        <v>57</v>
      </c>
      <c r="N53" s="3">
        <v>16287</v>
      </c>
      <c r="O53" s="2">
        <v>46134</v>
      </c>
      <c r="P53" s="3" t="s">
        <v>58</v>
      </c>
      <c r="Q53" s="5">
        <v>93877463.030000001</v>
      </c>
    </row>
    <row r="54" spans="1:17" ht="29" x14ac:dyDescent="0.35">
      <c r="A54" s="27">
        <v>46134</v>
      </c>
      <c r="B54" s="3">
        <v>215673</v>
      </c>
      <c r="C54" s="23" t="s">
        <v>25</v>
      </c>
      <c r="D54" s="3" t="s">
        <v>49</v>
      </c>
      <c r="E54" s="3" t="s">
        <v>20</v>
      </c>
      <c r="F54" s="4">
        <v>0.50322916666666662</v>
      </c>
      <c r="G54" s="3">
        <v>80</v>
      </c>
      <c r="H54" s="23" t="s">
        <v>115</v>
      </c>
      <c r="I54" s="34">
        <v>4926600</v>
      </c>
      <c r="J54" s="5">
        <v>0</v>
      </c>
      <c r="K54" s="3">
        <v>9012210426</v>
      </c>
      <c r="L54" s="3" t="s">
        <v>116</v>
      </c>
      <c r="M54" s="3" t="s">
        <v>117</v>
      </c>
      <c r="N54" s="3">
        <v>4523</v>
      </c>
      <c r="O54" s="2">
        <v>46134</v>
      </c>
      <c r="P54" s="3" t="s">
        <v>30</v>
      </c>
      <c r="Q54" s="5">
        <v>88950863.030000001</v>
      </c>
    </row>
    <row r="55" spans="1:17" x14ac:dyDescent="0.35">
      <c r="A55" s="27">
        <v>46134</v>
      </c>
      <c r="B55" s="3">
        <v>189075</v>
      </c>
      <c r="C55" s="23" t="s">
        <v>25</v>
      </c>
      <c r="D55" s="3" t="s">
        <v>49</v>
      </c>
      <c r="E55" s="3" t="s">
        <v>20</v>
      </c>
      <c r="F55" s="4">
        <v>0.46906249999999999</v>
      </c>
      <c r="G55" s="3">
        <v>6</v>
      </c>
      <c r="H55" s="23" t="s">
        <v>118</v>
      </c>
      <c r="I55" s="34">
        <v>663663</v>
      </c>
      <c r="J55" s="5">
        <v>0</v>
      </c>
      <c r="K55" s="3">
        <v>8301038389</v>
      </c>
      <c r="L55" s="3" t="s">
        <v>119</v>
      </c>
      <c r="M55" s="3" t="s">
        <v>29</v>
      </c>
      <c r="N55" s="3">
        <v>4545</v>
      </c>
      <c r="O55" s="2">
        <v>46134</v>
      </c>
      <c r="P55" s="3" t="s">
        <v>30</v>
      </c>
      <c r="Q55" s="5">
        <v>88287200.030000001</v>
      </c>
    </row>
    <row r="56" spans="1:17" x14ac:dyDescent="0.35">
      <c r="A56" s="27">
        <v>46134</v>
      </c>
      <c r="B56" s="3">
        <v>771362</v>
      </c>
      <c r="C56" s="23" t="s">
        <v>34</v>
      </c>
      <c r="D56" s="3" t="s">
        <v>120</v>
      </c>
      <c r="E56" s="3" t="s">
        <v>20</v>
      </c>
      <c r="F56" s="4">
        <v>0.45761574074074074</v>
      </c>
      <c r="G56" s="3">
        <v>0</v>
      </c>
      <c r="H56" s="23" t="s">
        <v>36</v>
      </c>
      <c r="I56" s="34">
        <v>145299</v>
      </c>
      <c r="J56" s="5">
        <v>0</v>
      </c>
      <c r="K56" s="3"/>
      <c r="L56" s="3" t="s">
        <v>121</v>
      </c>
      <c r="M56" s="3" t="s">
        <v>122</v>
      </c>
      <c r="N56" s="3">
        <v>13203</v>
      </c>
      <c r="O56" s="2">
        <v>46134</v>
      </c>
      <c r="P56" s="3" t="s">
        <v>123</v>
      </c>
      <c r="Q56" s="5">
        <v>88141901.030000001</v>
      </c>
    </row>
    <row r="57" spans="1:17" x14ac:dyDescent="0.35">
      <c r="A57" s="27">
        <v>46134</v>
      </c>
      <c r="B57" s="3">
        <v>183045</v>
      </c>
      <c r="C57" s="23" t="s">
        <v>34</v>
      </c>
      <c r="D57" s="3" t="s">
        <v>124</v>
      </c>
      <c r="E57" s="3" t="s">
        <v>20</v>
      </c>
      <c r="F57" s="4">
        <v>0.40834490740740742</v>
      </c>
      <c r="G57" s="3">
        <v>0</v>
      </c>
      <c r="H57" s="23" t="s">
        <v>36</v>
      </c>
      <c r="I57" s="34">
        <v>2884500</v>
      </c>
      <c r="J57" s="5">
        <v>0</v>
      </c>
      <c r="K57" s="3"/>
      <c r="L57" s="3" t="s">
        <v>125</v>
      </c>
      <c r="M57" s="3" t="s">
        <v>126</v>
      </c>
      <c r="N57" s="3">
        <v>12702</v>
      </c>
      <c r="O57" s="2">
        <v>46134</v>
      </c>
      <c r="P57" s="3" t="s">
        <v>127</v>
      </c>
      <c r="Q57" s="5">
        <v>85257401.030000001</v>
      </c>
    </row>
    <row r="58" spans="1:17" x14ac:dyDescent="0.35">
      <c r="A58" s="27">
        <v>46134</v>
      </c>
      <c r="B58" s="3">
        <v>651600</v>
      </c>
      <c r="C58" s="23" t="s">
        <v>25</v>
      </c>
      <c r="D58" s="3" t="s">
        <v>26</v>
      </c>
      <c r="E58" s="3" t="s">
        <v>20</v>
      </c>
      <c r="F58" s="4">
        <v>0.39502314814814815</v>
      </c>
      <c r="G58" s="3">
        <v>300</v>
      </c>
      <c r="H58" s="23" t="s">
        <v>27</v>
      </c>
      <c r="I58" s="34">
        <v>132328</v>
      </c>
      <c r="J58" s="5">
        <v>0</v>
      </c>
      <c r="K58" s="3"/>
      <c r="L58" s="3" t="s">
        <v>128</v>
      </c>
      <c r="M58" s="3" t="s">
        <v>29</v>
      </c>
      <c r="N58" s="3">
        <v>1387</v>
      </c>
      <c r="O58" s="2">
        <v>46134</v>
      </c>
      <c r="P58" s="3" t="s">
        <v>30</v>
      </c>
      <c r="Q58" s="5">
        <v>85125073.030000001</v>
      </c>
    </row>
    <row r="59" spans="1:17" ht="29" x14ac:dyDescent="0.35">
      <c r="A59" s="27">
        <v>46134</v>
      </c>
      <c r="B59" s="3">
        <v>147707</v>
      </c>
      <c r="C59" s="23" t="s">
        <v>25</v>
      </c>
      <c r="D59" s="3" t="s">
        <v>49</v>
      </c>
      <c r="E59" s="3" t="s">
        <v>20</v>
      </c>
      <c r="F59" s="4">
        <v>0.38222222222222224</v>
      </c>
      <c r="G59" s="3">
        <v>6</v>
      </c>
      <c r="H59" s="23" t="s">
        <v>129</v>
      </c>
      <c r="I59" s="34">
        <v>4142546.5</v>
      </c>
      <c r="J59" s="5">
        <v>0</v>
      </c>
      <c r="K59" s="3">
        <v>9013554850</v>
      </c>
      <c r="L59" s="3" t="s">
        <v>130</v>
      </c>
      <c r="M59" s="3" t="s">
        <v>29</v>
      </c>
      <c r="N59" s="3">
        <v>4544</v>
      </c>
      <c r="O59" s="2">
        <v>46134</v>
      </c>
      <c r="P59" s="3" t="s">
        <v>30</v>
      </c>
      <c r="Q59" s="5">
        <v>80982526.530000001</v>
      </c>
    </row>
    <row r="60" spans="1:17" x14ac:dyDescent="0.35">
      <c r="A60" s="27">
        <v>46134</v>
      </c>
      <c r="B60" s="3">
        <v>876590</v>
      </c>
      <c r="C60" s="23" t="s">
        <v>34</v>
      </c>
      <c r="D60" s="3" t="s">
        <v>131</v>
      </c>
      <c r="E60" s="3" t="s">
        <v>20</v>
      </c>
      <c r="F60" s="4">
        <v>0.33769675925925924</v>
      </c>
      <c r="G60" s="3">
        <v>0</v>
      </c>
      <c r="H60" s="23" t="s">
        <v>36</v>
      </c>
      <c r="I60" s="34">
        <v>3160000</v>
      </c>
      <c r="J60" s="5">
        <v>0</v>
      </c>
      <c r="K60" s="3"/>
      <c r="L60" s="3" t="s">
        <v>132</v>
      </c>
      <c r="M60" s="3" t="s">
        <v>133</v>
      </c>
      <c r="N60" s="3">
        <v>17482</v>
      </c>
      <c r="O60" s="2">
        <v>46134</v>
      </c>
      <c r="P60" s="3" t="s">
        <v>134</v>
      </c>
      <c r="Q60" s="5">
        <v>77822526.530000001</v>
      </c>
    </row>
    <row r="61" spans="1:17" x14ac:dyDescent="0.35">
      <c r="A61" s="27">
        <v>46133</v>
      </c>
      <c r="B61" s="3">
        <v>99999999</v>
      </c>
      <c r="C61" s="23" t="s">
        <v>18</v>
      </c>
      <c r="D61" s="3" t="s">
        <v>19</v>
      </c>
      <c r="E61" s="3" t="s">
        <v>20</v>
      </c>
      <c r="F61" s="4">
        <v>0.99998842592592596</v>
      </c>
      <c r="G61" s="3">
        <v>41</v>
      </c>
      <c r="H61" s="23" t="s">
        <v>21</v>
      </c>
      <c r="I61" s="34">
        <v>9667.1</v>
      </c>
      <c r="J61" s="5">
        <v>0</v>
      </c>
      <c r="K61" s="3"/>
      <c r="L61" s="3" t="s">
        <v>22</v>
      </c>
      <c r="M61" s="3" t="s">
        <v>22</v>
      </c>
      <c r="N61" s="3">
        <v>0</v>
      </c>
      <c r="O61" s="2">
        <v>46133</v>
      </c>
      <c r="P61" s="3" t="s">
        <v>23</v>
      </c>
      <c r="Q61" s="5">
        <v>0</v>
      </c>
    </row>
    <row r="62" spans="1:17" x14ac:dyDescent="0.35">
      <c r="A62" s="27">
        <v>46133</v>
      </c>
      <c r="B62" s="3">
        <v>99999998</v>
      </c>
      <c r="C62" s="23" t="s">
        <v>18</v>
      </c>
      <c r="D62" s="3" t="s">
        <v>19</v>
      </c>
      <c r="E62" s="3" t="s">
        <v>20</v>
      </c>
      <c r="F62" s="4">
        <v>0.99998842592592596</v>
      </c>
      <c r="G62" s="3">
        <v>40</v>
      </c>
      <c r="H62" s="23" t="s">
        <v>24</v>
      </c>
      <c r="I62" s="34">
        <v>4275</v>
      </c>
      <c r="J62" s="5">
        <v>0</v>
      </c>
      <c r="K62" s="3"/>
      <c r="L62" s="3" t="s">
        <v>22</v>
      </c>
      <c r="M62" s="3" t="s">
        <v>22</v>
      </c>
      <c r="N62" s="3">
        <v>0</v>
      </c>
      <c r="O62" s="2">
        <v>46133</v>
      </c>
      <c r="P62" s="3" t="s">
        <v>23</v>
      </c>
      <c r="Q62" s="5">
        <v>0</v>
      </c>
    </row>
    <row r="63" spans="1:17" x14ac:dyDescent="0.35">
      <c r="A63" s="27">
        <v>46133</v>
      </c>
      <c r="B63" s="3">
        <v>18314672</v>
      </c>
      <c r="C63" s="23" t="s">
        <v>25</v>
      </c>
      <c r="D63" s="3" t="s">
        <v>59</v>
      </c>
      <c r="E63" s="3" t="s">
        <v>20</v>
      </c>
      <c r="F63" s="4">
        <v>0.77206018518518515</v>
      </c>
      <c r="G63" s="3">
        <v>6</v>
      </c>
      <c r="H63" s="23" t="s">
        <v>135</v>
      </c>
      <c r="I63" s="34">
        <v>619336</v>
      </c>
      <c r="J63" s="5">
        <v>0</v>
      </c>
      <c r="K63" s="3">
        <v>19054404</v>
      </c>
      <c r="L63" s="3" t="s">
        <v>136</v>
      </c>
      <c r="M63" s="3" t="s">
        <v>137</v>
      </c>
      <c r="N63" s="3">
        <v>2250</v>
      </c>
      <c r="O63" s="2">
        <v>46133</v>
      </c>
      <c r="P63" s="3" t="s">
        <v>30</v>
      </c>
      <c r="Q63" s="5">
        <v>77203190.530000001</v>
      </c>
    </row>
    <row r="64" spans="1:17" ht="29" x14ac:dyDescent="0.35">
      <c r="A64" s="27">
        <v>46133</v>
      </c>
      <c r="B64" s="3">
        <v>15312880</v>
      </c>
      <c r="C64" s="23" t="s">
        <v>25</v>
      </c>
      <c r="D64" s="3" t="s">
        <v>40</v>
      </c>
      <c r="E64" s="3" t="s">
        <v>20</v>
      </c>
      <c r="F64" s="4">
        <v>0.6468518518518519</v>
      </c>
      <c r="G64" s="3">
        <v>6</v>
      </c>
      <c r="H64" s="23" t="s">
        <v>138</v>
      </c>
      <c r="I64" s="34">
        <v>1281273</v>
      </c>
      <c r="J64" s="5">
        <v>0</v>
      </c>
      <c r="K64" s="3">
        <v>1112628351</v>
      </c>
      <c r="L64" s="3" t="s">
        <v>139</v>
      </c>
      <c r="M64" s="3" t="s">
        <v>140</v>
      </c>
      <c r="N64" s="3">
        <v>12566</v>
      </c>
      <c r="O64" s="2">
        <v>46133</v>
      </c>
      <c r="P64" s="3" t="s">
        <v>30</v>
      </c>
      <c r="Q64" s="5">
        <v>75921917.530000001</v>
      </c>
    </row>
    <row r="65" spans="1:17" x14ac:dyDescent="0.35">
      <c r="A65" s="27">
        <v>46133</v>
      </c>
      <c r="B65" s="3">
        <v>357460</v>
      </c>
      <c r="C65" s="23" t="s">
        <v>34</v>
      </c>
      <c r="D65" s="3" t="s">
        <v>141</v>
      </c>
      <c r="E65" s="3" t="s">
        <v>20</v>
      </c>
      <c r="F65" s="4">
        <v>0.5861574074074074</v>
      </c>
      <c r="G65" s="3">
        <v>0</v>
      </c>
      <c r="H65" s="23" t="s">
        <v>36</v>
      </c>
      <c r="I65" s="34">
        <v>273105</v>
      </c>
      <c r="J65" s="5">
        <v>0</v>
      </c>
      <c r="K65" s="3"/>
      <c r="L65" s="3" t="s">
        <v>142</v>
      </c>
      <c r="M65" s="3" t="s">
        <v>143</v>
      </c>
      <c r="N65" s="3">
        <v>15529</v>
      </c>
      <c r="O65" s="2">
        <v>46133</v>
      </c>
      <c r="P65" s="3" t="s">
        <v>141</v>
      </c>
      <c r="Q65" s="5">
        <v>75648812.530000001</v>
      </c>
    </row>
    <row r="66" spans="1:17" ht="29" x14ac:dyDescent="0.35">
      <c r="A66" s="27">
        <v>46133</v>
      </c>
      <c r="B66" s="3">
        <v>448696</v>
      </c>
      <c r="C66" s="23" t="s">
        <v>25</v>
      </c>
      <c r="D66" s="3" t="s">
        <v>31</v>
      </c>
      <c r="E66" s="3" t="s">
        <v>20</v>
      </c>
      <c r="F66" s="4">
        <v>0.53760416666666666</v>
      </c>
      <c r="G66" s="3">
        <v>80</v>
      </c>
      <c r="H66" s="23" t="s">
        <v>144</v>
      </c>
      <c r="I66" s="34">
        <v>4512197.3</v>
      </c>
      <c r="J66" s="5">
        <v>0</v>
      </c>
      <c r="K66" s="3">
        <v>8600571312</v>
      </c>
      <c r="L66" s="3" t="s">
        <v>145</v>
      </c>
      <c r="M66" s="3" t="s">
        <v>29</v>
      </c>
      <c r="N66" s="3">
        <v>40</v>
      </c>
      <c r="O66" s="2">
        <v>46133</v>
      </c>
      <c r="P66" s="3" t="s">
        <v>30</v>
      </c>
      <c r="Q66" s="5">
        <v>71136615.230000004</v>
      </c>
    </row>
    <row r="67" spans="1:17" x14ac:dyDescent="0.35">
      <c r="A67" s="27">
        <v>46133</v>
      </c>
      <c r="B67" s="3">
        <v>24700</v>
      </c>
      <c r="C67" s="23" t="s">
        <v>25</v>
      </c>
      <c r="D67" s="3" t="s">
        <v>26</v>
      </c>
      <c r="E67" s="3" t="s">
        <v>20</v>
      </c>
      <c r="F67" s="4">
        <v>0.51320601851851855</v>
      </c>
      <c r="G67" s="3">
        <v>300</v>
      </c>
      <c r="H67" s="23" t="s">
        <v>27</v>
      </c>
      <c r="I67" s="34">
        <v>227945</v>
      </c>
      <c r="J67" s="5">
        <v>0</v>
      </c>
      <c r="K67" s="3"/>
      <c r="L67" s="3" t="s">
        <v>146</v>
      </c>
      <c r="M67" s="3" t="s">
        <v>29</v>
      </c>
      <c r="N67" s="3">
        <v>1387</v>
      </c>
      <c r="O67" s="2">
        <v>46133</v>
      </c>
      <c r="P67" s="3" t="s">
        <v>30</v>
      </c>
      <c r="Q67" s="5">
        <v>70908670.230000004</v>
      </c>
    </row>
    <row r="68" spans="1:17" x14ac:dyDescent="0.35">
      <c r="A68" s="27">
        <v>46133</v>
      </c>
      <c r="B68" s="3">
        <v>320166</v>
      </c>
      <c r="C68" s="23" t="s">
        <v>34</v>
      </c>
      <c r="D68" s="3" t="s">
        <v>83</v>
      </c>
      <c r="E68" s="3" t="s">
        <v>20</v>
      </c>
      <c r="F68" s="4">
        <v>0.51299768518518518</v>
      </c>
      <c r="G68" s="3">
        <v>0</v>
      </c>
      <c r="H68" s="23" t="s">
        <v>36</v>
      </c>
      <c r="I68" s="34">
        <v>1037561</v>
      </c>
      <c r="J68" s="5">
        <v>0</v>
      </c>
      <c r="K68" s="3"/>
      <c r="L68" s="3" t="s">
        <v>37</v>
      </c>
      <c r="M68" s="3" t="s">
        <v>38</v>
      </c>
      <c r="N68" s="3">
        <v>17119</v>
      </c>
      <c r="O68" s="2">
        <v>46133</v>
      </c>
      <c r="P68" s="3" t="s">
        <v>39</v>
      </c>
      <c r="Q68" s="5">
        <v>69871109.230000004</v>
      </c>
    </row>
    <row r="69" spans="1:17" x14ac:dyDescent="0.35">
      <c r="A69" s="27">
        <v>46133</v>
      </c>
      <c r="B69" s="3">
        <v>740169</v>
      </c>
      <c r="C69" s="23" t="s">
        <v>34</v>
      </c>
      <c r="D69" s="3" t="s">
        <v>131</v>
      </c>
      <c r="E69" s="3" t="s">
        <v>20</v>
      </c>
      <c r="F69" s="4">
        <v>0.45245370370370369</v>
      </c>
      <c r="G69" s="3">
        <v>0</v>
      </c>
      <c r="H69" s="23" t="s">
        <v>36</v>
      </c>
      <c r="I69" s="34">
        <v>2278855</v>
      </c>
      <c r="J69" s="5">
        <v>0</v>
      </c>
      <c r="K69" s="3"/>
      <c r="L69" s="3" t="s">
        <v>147</v>
      </c>
      <c r="M69" s="3" t="s">
        <v>148</v>
      </c>
      <c r="N69" s="3">
        <v>17482</v>
      </c>
      <c r="O69" s="2">
        <v>46133</v>
      </c>
      <c r="P69" s="3" t="s">
        <v>134</v>
      </c>
      <c r="Q69" s="5">
        <v>67592254.230000004</v>
      </c>
    </row>
    <row r="70" spans="1:17" x14ac:dyDescent="0.35">
      <c r="A70" s="27">
        <v>46133</v>
      </c>
      <c r="B70" s="3">
        <v>614225</v>
      </c>
      <c r="C70" s="23" t="s">
        <v>34</v>
      </c>
      <c r="D70" s="3" t="s">
        <v>149</v>
      </c>
      <c r="E70" s="3" t="s">
        <v>20</v>
      </c>
      <c r="F70" s="4">
        <v>0.45087962962962963</v>
      </c>
      <c r="G70" s="3">
        <v>0</v>
      </c>
      <c r="H70" s="23" t="s">
        <v>36</v>
      </c>
      <c r="I70" s="34">
        <v>55632.5</v>
      </c>
      <c r="J70" s="5">
        <v>0</v>
      </c>
      <c r="K70" s="3"/>
      <c r="L70" s="3" t="s">
        <v>150</v>
      </c>
      <c r="M70" s="3" t="s">
        <v>151</v>
      </c>
      <c r="N70" s="3">
        <v>13961</v>
      </c>
      <c r="O70" s="2">
        <v>46133</v>
      </c>
      <c r="P70" s="3" t="s">
        <v>149</v>
      </c>
      <c r="Q70" s="5">
        <v>67536621.730000004</v>
      </c>
    </row>
    <row r="71" spans="1:17" x14ac:dyDescent="0.35">
      <c r="A71" s="27">
        <v>46133</v>
      </c>
      <c r="B71" s="3">
        <v>115860</v>
      </c>
      <c r="C71" s="23" t="s">
        <v>34</v>
      </c>
      <c r="D71" s="3" t="s">
        <v>149</v>
      </c>
      <c r="E71" s="3" t="s">
        <v>20</v>
      </c>
      <c r="F71" s="4">
        <v>0.45038194444444446</v>
      </c>
      <c r="G71" s="3">
        <v>0</v>
      </c>
      <c r="H71" s="23" t="s">
        <v>36</v>
      </c>
      <c r="I71" s="34">
        <v>1289347.99</v>
      </c>
      <c r="J71" s="5">
        <v>0</v>
      </c>
      <c r="K71" s="3"/>
      <c r="L71" s="3" t="s">
        <v>150</v>
      </c>
      <c r="M71" s="3" t="s">
        <v>151</v>
      </c>
      <c r="N71" s="3">
        <v>13961</v>
      </c>
      <c r="O71" s="2">
        <v>46133</v>
      </c>
      <c r="P71" s="3" t="s">
        <v>149</v>
      </c>
      <c r="Q71" s="5">
        <v>66247273.740000002</v>
      </c>
    </row>
    <row r="72" spans="1:17" x14ac:dyDescent="0.35">
      <c r="A72" s="27">
        <v>46133</v>
      </c>
      <c r="B72" s="3">
        <v>8408702</v>
      </c>
      <c r="C72" s="23" t="s">
        <v>18</v>
      </c>
      <c r="D72" s="3" t="s">
        <v>31</v>
      </c>
      <c r="E72" s="3" t="s">
        <v>20</v>
      </c>
      <c r="F72" s="4">
        <v>0.39427083333333335</v>
      </c>
      <c r="G72" s="3">
        <v>349</v>
      </c>
      <c r="H72" s="23" t="s">
        <v>79</v>
      </c>
      <c r="I72" s="34">
        <v>2390000</v>
      </c>
      <c r="J72" s="5">
        <v>0</v>
      </c>
      <c r="K72" s="3"/>
      <c r="L72" s="3" t="s">
        <v>152</v>
      </c>
      <c r="M72" s="3" t="s">
        <v>29</v>
      </c>
      <c r="N72" s="3">
        <v>20</v>
      </c>
      <c r="O72" s="2">
        <v>46133</v>
      </c>
      <c r="P72" s="3" t="s">
        <v>30</v>
      </c>
      <c r="Q72" s="5">
        <v>68646833.739999995</v>
      </c>
    </row>
    <row r="73" spans="1:17" x14ac:dyDescent="0.35">
      <c r="A73" s="27">
        <v>46133</v>
      </c>
      <c r="B73" s="3">
        <v>408701</v>
      </c>
      <c r="C73" s="23" t="s">
        <v>18</v>
      </c>
      <c r="D73" s="3" t="s">
        <v>31</v>
      </c>
      <c r="E73" s="3" t="s">
        <v>20</v>
      </c>
      <c r="F73" s="4">
        <v>0.39427083333333335</v>
      </c>
      <c r="G73" s="3">
        <v>351</v>
      </c>
      <c r="H73" s="23" t="s">
        <v>81</v>
      </c>
      <c r="I73" s="34">
        <v>22500</v>
      </c>
      <c r="J73" s="5">
        <v>0</v>
      </c>
      <c r="K73" s="3"/>
      <c r="L73" s="3" t="s">
        <v>152</v>
      </c>
      <c r="M73" s="3" t="s">
        <v>152</v>
      </c>
      <c r="N73" s="3">
        <v>18</v>
      </c>
      <c r="O73" s="2">
        <v>46133</v>
      </c>
      <c r="P73" s="3" t="s">
        <v>30</v>
      </c>
      <c r="Q73" s="5">
        <v>68673715.840000004</v>
      </c>
    </row>
    <row r="74" spans="1:17" ht="29" x14ac:dyDescent="0.35">
      <c r="A74" s="27">
        <v>46133</v>
      </c>
      <c r="B74" s="3">
        <v>899105</v>
      </c>
      <c r="C74" s="23" t="s">
        <v>25</v>
      </c>
      <c r="D74" s="3" t="s">
        <v>49</v>
      </c>
      <c r="E74" s="3" t="s">
        <v>20</v>
      </c>
      <c r="F74" s="4">
        <v>0.39064814814814813</v>
      </c>
      <c r="G74" s="3">
        <v>80</v>
      </c>
      <c r="H74" s="23" t="s">
        <v>66</v>
      </c>
      <c r="I74" s="34">
        <v>4975152</v>
      </c>
      <c r="J74" s="5">
        <v>0</v>
      </c>
      <c r="K74" s="3">
        <v>9011300131</v>
      </c>
      <c r="L74" s="3" t="s">
        <v>67</v>
      </c>
      <c r="M74" s="3" t="s">
        <v>153</v>
      </c>
      <c r="N74" s="3">
        <v>4521</v>
      </c>
      <c r="O74" s="2">
        <v>46133</v>
      </c>
      <c r="P74" s="3" t="s">
        <v>30</v>
      </c>
      <c r="Q74" s="5">
        <v>63698563.840000004</v>
      </c>
    </row>
    <row r="75" spans="1:17" x14ac:dyDescent="0.35">
      <c r="A75" s="27">
        <v>46133</v>
      </c>
      <c r="B75" s="3">
        <v>205367</v>
      </c>
      <c r="C75" s="23" t="s">
        <v>34</v>
      </c>
      <c r="D75" s="3" t="s">
        <v>154</v>
      </c>
      <c r="E75" s="3" t="s">
        <v>20</v>
      </c>
      <c r="F75" s="4">
        <v>0.36269675925925926</v>
      </c>
      <c r="G75" s="3">
        <v>0</v>
      </c>
      <c r="H75" s="23" t="s">
        <v>36</v>
      </c>
      <c r="I75" s="34">
        <v>1367331</v>
      </c>
      <c r="J75" s="5">
        <v>0</v>
      </c>
      <c r="K75" s="3"/>
      <c r="L75" s="3" t="s">
        <v>155</v>
      </c>
      <c r="M75" s="3" t="s">
        <v>156</v>
      </c>
      <c r="N75" s="3">
        <v>15482</v>
      </c>
      <c r="O75" s="2">
        <v>46133</v>
      </c>
      <c r="P75" s="3" t="s">
        <v>154</v>
      </c>
      <c r="Q75" s="5">
        <v>62331232.840000004</v>
      </c>
    </row>
    <row r="76" spans="1:17" x14ac:dyDescent="0.35">
      <c r="A76" s="27">
        <v>46133</v>
      </c>
      <c r="B76" s="3">
        <v>918</v>
      </c>
      <c r="C76" s="23" t="s">
        <v>25</v>
      </c>
      <c r="D76" s="3" t="s">
        <v>72</v>
      </c>
      <c r="E76" s="3" t="s">
        <v>20</v>
      </c>
      <c r="F76" s="4">
        <v>0.31251157407407409</v>
      </c>
      <c r="G76" s="3">
        <v>349</v>
      </c>
      <c r="H76" s="23" t="s">
        <v>73</v>
      </c>
      <c r="I76" s="34">
        <v>2689</v>
      </c>
      <c r="J76" s="5">
        <v>0</v>
      </c>
      <c r="K76" s="3"/>
      <c r="L76" s="3" t="s">
        <v>29</v>
      </c>
      <c r="M76" s="3" t="s">
        <v>29</v>
      </c>
      <c r="N76" s="3">
        <v>870</v>
      </c>
      <c r="O76" s="2">
        <v>46132</v>
      </c>
      <c r="P76" s="3" t="s">
        <v>30</v>
      </c>
      <c r="Q76" s="5">
        <v>62328543.840000004</v>
      </c>
    </row>
    <row r="77" spans="1:17" x14ac:dyDescent="0.35">
      <c r="A77" s="27">
        <v>46132</v>
      </c>
      <c r="B77" s="3">
        <v>17163911</v>
      </c>
      <c r="C77" s="23" t="s">
        <v>25</v>
      </c>
      <c r="D77" s="3" t="s">
        <v>40</v>
      </c>
      <c r="E77" s="3" t="s">
        <v>20</v>
      </c>
      <c r="F77" s="4">
        <v>0.71989583333333329</v>
      </c>
      <c r="G77" s="3">
        <v>6</v>
      </c>
      <c r="H77" s="23" t="s">
        <v>157</v>
      </c>
      <c r="I77" s="34">
        <v>1015220</v>
      </c>
      <c r="J77" s="5">
        <v>0</v>
      </c>
      <c r="K77" s="3">
        <v>80818899</v>
      </c>
      <c r="L77" s="3" t="s">
        <v>158</v>
      </c>
      <c r="M77" s="3" t="s">
        <v>159</v>
      </c>
      <c r="N77" s="3">
        <v>12566</v>
      </c>
      <c r="O77" s="2">
        <v>46132</v>
      </c>
      <c r="P77" s="3" t="s">
        <v>30</v>
      </c>
      <c r="Q77" s="5">
        <v>61313323.840000004</v>
      </c>
    </row>
    <row r="78" spans="1:17" x14ac:dyDescent="0.35">
      <c r="A78" s="27">
        <v>46132</v>
      </c>
      <c r="B78" s="3">
        <v>2608820</v>
      </c>
      <c r="C78" s="23" t="s">
        <v>25</v>
      </c>
      <c r="D78" s="3" t="s">
        <v>160</v>
      </c>
      <c r="E78" s="3" t="s">
        <v>20</v>
      </c>
      <c r="F78" s="4">
        <v>0.71696759259259257</v>
      </c>
      <c r="G78" s="3">
        <v>29</v>
      </c>
      <c r="H78" s="23" t="s">
        <v>161</v>
      </c>
      <c r="I78" s="34">
        <v>396984</v>
      </c>
      <c r="J78" s="5">
        <v>0</v>
      </c>
      <c r="K78" s="3">
        <v>900732020</v>
      </c>
      <c r="L78" s="3" t="s">
        <v>162</v>
      </c>
      <c r="M78" s="3" t="s">
        <v>29</v>
      </c>
      <c r="N78" s="3">
        <v>683</v>
      </c>
      <c r="O78" s="2">
        <v>46132</v>
      </c>
      <c r="P78" s="3" t="s">
        <v>30</v>
      </c>
      <c r="Q78" s="5">
        <v>60916339.840000004</v>
      </c>
    </row>
    <row r="79" spans="1:17" x14ac:dyDescent="0.35">
      <c r="A79" s="27">
        <v>46132</v>
      </c>
      <c r="B79" s="3">
        <v>346400</v>
      </c>
      <c r="C79" s="23" t="s">
        <v>25</v>
      </c>
      <c r="D79" s="3" t="s">
        <v>26</v>
      </c>
      <c r="E79" s="3" t="s">
        <v>20</v>
      </c>
      <c r="F79" s="4">
        <v>0.6958333333333333</v>
      </c>
      <c r="G79" s="3">
        <v>300</v>
      </c>
      <c r="H79" s="23" t="s">
        <v>27</v>
      </c>
      <c r="I79" s="34">
        <v>707200</v>
      </c>
      <c r="J79" s="5">
        <v>0</v>
      </c>
      <c r="K79" s="3"/>
      <c r="L79" s="3" t="s">
        <v>163</v>
      </c>
      <c r="M79" s="3" t="s">
        <v>29</v>
      </c>
      <c r="N79" s="3">
        <v>1387</v>
      </c>
      <c r="O79" s="2">
        <v>46132</v>
      </c>
      <c r="P79" s="3" t="s">
        <v>30</v>
      </c>
      <c r="Q79" s="5">
        <v>60209139.840000004</v>
      </c>
    </row>
    <row r="80" spans="1:17" ht="29" x14ac:dyDescent="0.35">
      <c r="A80" s="27">
        <v>46132</v>
      </c>
      <c r="B80" s="3">
        <v>767496</v>
      </c>
      <c r="C80" s="23" t="s">
        <v>25</v>
      </c>
      <c r="D80" s="3" t="s">
        <v>49</v>
      </c>
      <c r="E80" s="3" t="s">
        <v>20</v>
      </c>
      <c r="F80" s="4">
        <v>0.6868981481481482</v>
      </c>
      <c r="G80" s="3">
        <v>80</v>
      </c>
      <c r="H80" s="23" t="s">
        <v>164</v>
      </c>
      <c r="I80" s="34">
        <v>731415</v>
      </c>
      <c r="J80" s="5">
        <v>0</v>
      </c>
      <c r="K80" s="3">
        <v>9001034910</v>
      </c>
      <c r="L80" s="3" t="s">
        <v>165</v>
      </c>
      <c r="M80" s="3" t="s">
        <v>166</v>
      </c>
      <c r="N80" s="3">
        <v>4519</v>
      </c>
      <c r="O80" s="2">
        <v>46132</v>
      </c>
      <c r="P80" s="3" t="s">
        <v>30</v>
      </c>
      <c r="Q80" s="5">
        <v>59477724.840000004</v>
      </c>
    </row>
    <row r="81" spans="1:17" x14ac:dyDescent="0.35">
      <c r="A81" s="27">
        <v>46132</v>
      </c>
      <c r="B81" s="3">
        <v>370000</v>
      </c>
      <c r="C81" s="23" t="s">
        <v>34</v>
      </c>
      <c r="D81" s="3" t="s">
        <v>167</v>
      </c>
      <c r="E81" s="3" t="s">
        <v>20</v>
      </c>
      <c r="F81" s="4">
        <v>0.64321759259259259</v>
      </c>
      <c r="G81" s="3">
        <v>0</v>
      </c>
      <c r="H81" s="23" t="s">
        <v>36</v>
      </c>
      <c r="I81" s="34">
        <v>5409240.9900000002</v>
      </c>
      <c r="J81" s="5">
        <v>0</v>
      </c>
      <c r="K81" s="3"/>
      <c r="L81" s="3" t="s">
        <v>37</v>
      </c>
      <c r="M81" s="3" t="s">
        <v>38</v>
      </c>
      <c r="N81" s="3">
        <v>14219</v>
      </c>
      <c r="O81" s="2">
        <v>46132</v>
      </c>
      <c r="P81" s="3" t="s">
        <v>39</v>
      </c>
      <c r="Q81" s="5">
        <v>54068483.850000001</v>
      </c>
    </row>
    <row r="82" spans="1:17" x14ac:dyDescent="0.35">
      <c r="A82" s="27">
        <v>46132</v>
      </c>
      <c r="B82" s="3">
        <v>468730</v>
      </c>
      <c r="C82" s="23" t="s">
        <v>34</v>
      </c>
      <c r="D82" s="3" t="s">
        <v>168</v>
      </c>
      <c r="E82" s="3" t="s">
        <v>20</v>
      </c>
      <c r="F82" s="4">
        <v>0.57008101851851856</v>
      </c>
      <c r="G82" s="3">
        <v>0</v>
      </c>
      <c r="H82" s="23" t="s">
        <v>36</v>
      </c>
      <c r="I82" s="34">
        <v>3545010</v>
      </c>
      <c r="J82" s="5">
        <v>0</v>
      </c>
      <c r="K82" s="3"/>
      <c r="L82" s="3" t="s">
        <v>169</v>
      </c>
      <c r="M82" s="3" t="s">
        <v>170</v>
      </c>
      <c r="N82" s="3">
        <v>17491</v>
      </c>
      <c r="O82" s="2">
        <v>46132</v>
      </c>
      <c r="P82" s="3" t="s">
        <v>134</v>
      </c>
      <c r="Q82" s="5">
        <v>50523473.850000001</v>
      </c>
    </row>
    <row r="83" spans="1:17" x14ac:dyDescent="0.35">
      <c r="A83" s="27">
        <v>46132</v>
      </c>
      <c r="B83" s="3">
        <v>520300</v>
      </c>
      <c r="C83" s="23" t="s">
        <v>25</v>
      </c>
      <c r="D83" s="3" t="s">
        <v>26</v>
      </c>
      <c r="E83" s="3" t="s">
        <v>20</v>
      </c>
      <c r="F83" s="4">
        <v>0.5116087962962963</v>
      </c>
      <c r="G83" s="3">
        <v>300</v>
      </c>
      <c r="H83" s="23" t="s">
        <v>27</v>
      </c>
      <c r="I83" s="34">
        <v>1737357</v>
      </c>
      <c r="J83" s="5">
        <v>0</v>
      </c>
      <c r="K83" s="3"/>
      <c r="L83" s="3" t="s">
        <v>171</v>
      </c>
      <c r="M83" s="3" t="s">
        <v>29</v>
      </c>
      <c r="N83" s="3">
        <v>1387</v>
      </c>
      <c r="O83" s="2">
        <v>46132</v>
      </c>
      <c r="P83" s="3" t="s">
        <v>30</v>
      </c>
      <c r="Q83" s="5">
        <v>48786116.850000001</v>
      </c>
    </row>
    <row r="84" spans="1:17" ht="29" x14ac:dyDescent="0.35">
      <c r="A84" s="27">
        <v>46132</v>
      </c>
      <c r="B84" s="3">
        <v>624159</v>
      </c>
      <c r="C84" s="23" t="s">
        <v>25</v>
      </c>
      <c r="D84" s="3" t="s">
        <v>49</v>
      </c>
      <c r="E84" s="3" t="s">
        <v>20</v>
      </c>
      <c r="F84" s="4">
        <v>0.49537037037037035</v>
      </c>
      <c r="G84" s="3">
        <v>6</v>
      </c>
      <c r="H84" s="23" t="s">
        <v>172</v>
      </c>
      <c r="I84" s="34">
        <v>661212</v>
      </c>
      <c r="J84" s="5">
        <v>0</v>
      </c>
      <c r="K84" s="3">
        <v>9008646255</v>
      </c>
      <c r="L84" s="3" t="s">
        <v>173</v>
      </c>
      <c r="M84" s="3" t="s">
        <v>29</v>
      </c>
      <c r="N84" s="3">
        <v>4545</v>
      </c>
      <c r="O84" s="2">
        <v>46132</v>
      </c>
      <c r="P84" s="3" t="s">
        <v>30</v>
      </c>
      <c r="Q84" s="5">
        <v>48124904.850000001</v>
      </c>
    </row>
    <row r="85" spans="1:17" x14ac:dyDescent="0.35">
      <c r="A85" s="27">
        <v>46132</v>
      </c>
      <c r="B85" s="3">
        <v>2315644</v>
      </c>
      <c r="C85" s="23" t="s">
        <v>25</v>
      </c>
      <c r="D85" s="3" t="s">
        <v>160</v>
      </c>
      <c r="E85" s="3" t="s">
        <v>20</v>
      </c>
      <c r="F85" s="4">
        <v>0.38994212962962965</v>
      </c>
      <c r="G85" s="3">
        <v>29</v>
      </c>
      <c r="H85" s="23" t="s">
        <v>174</v>
      </c>
      <c r="I85" s="34">
        <v>11135000</v>
      </c>
      <c r="J85" s="5">
        <v>0</v>
      </c>
      <c r="K85" s="3">
        <v>8000143387</v>
      </c>
      <c r="L85" s="3" t="s">
        <v>175</v>
      </c>
      <c r="M85" s="3" t="s">
        <v>176</v>
      </c>
      <c r="N85" s="3">
        <v>683</v>
      </c>
      <c r="O85" s="2">
        <v>46132</v>
      </c>
      <c r="P85" s="3" t="s">
        <v>30</v>
      </c>
      <c r="Q85" s="5">
        <v>36989904.850000001</v>
      </c>
    </row>
    <row r="86" spans="1:17" x14ac:dyDescent="0.35">
      <c r="A86" s="27">
        <v>46129</v>
      </c>
      <c r="B86" s="3">
        <v>99999999</v>
      </c>
      <c r="C86" s="23" t="s">
        <v>18</v>
      </c>
      <c r="D86" s="3" t="s">
        <v>19</v>
      </c>
      <c r="E86" s="3" t="s">
        <v>20</v>
      </c>
      <c r="F86" s="4">
        <v>0.99998842592592596</v>
      </c>
      <c r="G86" s="3">
        <v>41</v>
      </c>
      <c r="H86" s="23" t="s">
        <v>21</v>
      </c>
      <c r="I86" s="34">
        <v>8874.31</v>
      </c>
      <c r="J86" s="5">
        <v>0</v>
      </c>
      <c r="K86" s="3"/>
      <c r="L86" s="3" t="s">
        <v>22</v>
      </c>
      <c r="M86" s="3" t="s">
        <v>22</v>
      </c>
      <c r="N86" s="3">
        <v>0</v>
      </c>
      <c r="O86" s="2">
        <v>46129</v>
      </c>
      <c r="P86" s="3" t="s">
        <v>23</v>
      </c>
      <c r="Q86" s="5">
        <v>0</v>
      </c>
    </row>
    <row r="87" spans="1:17" x14ac:dyDescent="0.35">
      <c r="A87" s="27">
        <v>46129</v>
      </c>
      <c r="B87" s="3">
        <v>99999998</v>
      </c>
      <c r="C87" s="23" t="s">
        <v>18</v>
      </c>
      <c r="D87" s="3" t="s">
        <v>19</v>
      </c>
      <c r="E87" s="3" t="s">
        <v>20</v>
      </c>
      <c r="F87" s="4">
        <v>0.99998842592592596</v>
      </c>
      <c r="G87" s="3">
        <v>40</v>
      </c>
      <c r="H87" s="23" t="s">
        <v>24</v>
      </c>
      <c r="I87" s="34">
        <v>5326</v>
      </c>
      <c r="J87" s="5">
        <v>0</v>
      </c>
      <c r="K87" s="3"/>
      <c r="L87" s="3" t="s">
        <v>22</v>
      </c>
      <c r="M87" s="3" t="s">
        <v>22</v>
      </c>
      <c r="N87" s="3">
        <v>0</v>
      </c>
      <c r="O87" s="2">
        <v>46129</v>
      </c>
      <c r="P87" s="3" t="s">
        <v>23</v>
      </c>
      <c r="Q87" s="5">
        <v>0</v>
      </c>
    </row>
    <row r="88" spans="1:17" x14ac:dyDescent="0.35">
      <c r="A88" s="27">
        <v>46129</v>
      </c>
      <c r="B88" s="3">
        <v>314700</v>
      </c>
      <c r="C88" s="23" t="s">
        <v>25</v>
      </c>
      <c r="D88" s="3" t="s">
        <v>26</v>
      </c>
      <c r="E88" s="3" t="s">
        <v>20</v>
      </c>
      <c r="F88" s="4">
        <v>0.83226851851851846</v>
      </c>
      <c r="G88" s="3">
        <v>300</v>
      </c>
      <c r="H88" s="23" t="s">
        <v>27</v>
      </c>
      <c r="I88" s="34">
        <v>1076425</v>
      </c>
      <c r="J88" s="5">
        <v>0</v>
      </c>
      <c r="K88" s="3"/>
      <c r="L88" s="3" t="s">
        <v>177</v>
      </c>
      <c r="M88" s="3" t="s">
        <v>29</v>
      </c>
      <c r="N88" s="3">
        <v>1387</v>
      </c>
      <c r="O88" s="2">
        <v>46129</v>
      </c>
      <c r="P88" s="3" t="s">
        <v>30</v>
      </c>
      <c r="Q88" s="5">
        <v>35913479.850000001</v>
      </c>
    </row>
    <row r="89" spans="1:17" x14ac:dyDescent="0.35">
      <c r="A89" s="27">
        <v>46129</v>
      </c>
      <c r="B89" s="3">
        <v>8069968</v>
      </c>
      <c r="C89" s="23" t="s">
        <v>18</v>
      </c>
      <c r="D89" s="3" t="s">
        <v>31</v>
      </c>
      <c r="E89" s="3" t="s">
        <v>20</v>
      </c>
      <c r="F89" s="4">
        <v>0.70052083333333337</v>
      </c>
      <c r="G89" s="3">
        <v>349</v>
      </c>
      <c r="H89" s="23" t="s">
        <v>79</v>
      </c>
      <c r="I89" s="34">
        <v>1640000</v>
      </c>
      <c r="J89" s="5">
        <v>0</v>
      </c>
      <c r="K89" s="3"/>
      <c r="L89" s="3" t="s">
        <v>178</v>
      </c>
      <c r="M89" s="3" t="s">
        <v>29</v>
      </c>
      <c r="N89" s="3">
        <v>4416</v>
      </c>
      <c r="O89" s="2">
        <v>46129</v>
      </c>
      <c r="P89" s="3" t="s">
        <v>30</v>
      </c>
      <c r="Q89" s="5">
        <v>37560039.850000001</v>
      </c>
    </row>
    <row r="90" spans="1:17" x14ac:dyDescent="0.35">
      <c r="A90" s="27">
        <v>46129</v>
      </c>
      <c r="B90" s="3">
        <v>69967</v>
      </c>
      <c r="C90" s="23" t="s">
        <v>18</v>
      </c>
      <c r="D90" s="3" t="s">
        <v>31</v>
      </c>
      <c r="E90" s="3" t="s">
        <v>20</v>
      </c>
      <c r="F90" s="4">
        <v>0.70052083333333337</v>
      </c>
      <c r="G90" s="3">
        <v>80</v>
      </c>
      <c r="H90" s="23" t="s">
        <v>179</v>
      </c>
      <c r="I90" s="34">
        <v>545223</v>
      </c>
      <c r="J90" s="5">
        <v>0</v>
      </c>
      <c r="K90" s="3"/>
      <c r="L90" s="3" t="s">
        <v>29</v>
      </c>
      <c r="M90" s="3" t="s">
        <v>29</v>
      </c>
      <c r="N90" s="3">
        <v>27</v>
      </c>
      <c r="O90" s="2">
        <v>46129</v>
      </c>
      <c r="P90" s="3" t="s">
        <v>30</v>
      </c>
      <c r="Q90" s="5">
        <v>38107443.740000002</v>
      </c>
    </row>
    <row r="91" spans="1:17" x14ac:dyDescent="0.35">
      <c r="A91" s="27">
        <v>46129</v>
      </c>
      <c r="B91" s="3">
        <v>69966</v>
      </c>
      <c r="C91" s="23" t="s">
        <v>18</v>
      </c>
      <c r="D91" s="3" t="s">
        <v>31</v>
      </c>
      <c r="E91" s="3" t="s">
        <v>20</v>
      </c>
      <c r="F91" s="4">
        <v>0.70050925925925922</v>
      </c>
      <c r="G91" s="3">
        <v>177</v>
      </c>
      <c r="H91" s="23" t="s">
        <v>44</v>
      </c>
      <c r="I91" s="34">
        <v>5530</v>
      </c>
      <c r="J91" s="5">
        <v>0</v>
      </c>
      <c r="K91" s="3"/>
      <c r="L91" s="3" t="s">
        <v>178</v>
      </c>
      <c r="M91" s="3" t="s">
        <v>178</v>
      </c>
      <c r="N91" s="3">
        <v>13</v>
      </c>
      <c r="O91" s="2">
        <v>46129</v>
      </c>
      <c r="P91" s="3" t="s">
        <v>30</v>
      </c>
      <c r="Q91" s="5">
        <v>38114051.060000002</v>
      </c>
    </row>
    <row r="92" spans="1:17" x14ac:dyDescent="0.35">
      <c r="A92" s="27">
        <v>46129</v>
      </c>
      <c r="B92" s="3">
        <v>69965</v>
      </c>
      <c r="C92" s="23" t="s">
        <v>18</v>
      </c>
      <c r="D92" s="3" t="s">
        <v>31</v>
      </c>
      <c r="E92" s="3" t="s">
        <v>20</v>
      </c>
      <c r="F92" s="4">
        <v>0.70050925925925922</v>
      </c>
      <c r="G92" s="3">
        <v>351</v>
      </c>
      <c r="H92" s="23" t="s">
        <v>81</v>
      </c>
      <c r="I92" s="34">
        <v>22500</v>
      </c>
      <c r="J92" s="5">
        <v>0</v>
      </c>
      <c r="K92" s="3"/>
      <c r="L92" s="3" t="s">
        <v>178</v>
      </c>
      <c r="M92" s="3" t="s">
        <v>178</v>
      </c>
      <c r="N92" s="3">
        <v>28</v>
      </c>
      <c r="O92" s="2">
        <v>46129</v>
      </c>
      <c r="P92" s="3" t="s">
        <v>30</v>
      </c>
      <c r="Q92" s="5">
        <v>38140933.159999996</v>
      </c>
    </row>
    <row r="93" spans="1:17" x14ac:dyDescent="0.35">
      <c r="A93" s="27">
        <v>46129</v>
      </c>
      <c r="B93" s="3">
        <v>16065558</v>
      </c>
      <c r="C93" s="23" t="s">
        <v>25</v>
      </c>
      <c r="D93" s="3" t="s">
        <v>40</v>
      </c>
      <c r="E93" s="3" t="s">
        <v>20</v>
      </c>
      <c r="F93" s="4">
        <v>0.67146990740740742</v>
      </c>
      <c r="G93" s="3">
        <v>6</v>
      </c>
      <c r="H93" s="23" t="s">
        <v>180</v>
      </c>
      <c r="I93" s="34">
        <v>172490</v>
      </c>
      <c r="J93" s="5">
        <v>0</v>
      </c>
      <c r="K93" s="3">
        <v>55179306</v>
      </c>
      <c r="L93" s="3" t="s">
        <v>181</v>
      </c>
      <c r="M93" s="3" t="s">
        <v>182</v>
      </c>
      <c r="N93" s="3">
        <v>12566</v>
      </c>
      <c r="O93" s="2">
        <v>46129</v>
      </c>
      <c r="P93" s="3" t="s">
        <v>30</v>
      </c>
      <c r="Q93" s="5">
        <v>37968443.159999996</v>
      </c>
    </row>
    <row r="94" spans="1:17" x14ac:dyDescent="0.35">
      <c r="A94" s="27">
        <v>46129</v>
      </c>
      <c r="B94" s="3">
        <v>666821</v>
      </c>
      <c r="C94" s="23" t="s">
        <v>34</v>
      </c>
      <c r="D94" s="3" t="s">
        <v>63</v>
      </c>
      <c r="E94" s="3" t="s">
        <v>20</v>
      </c>
      <c r="F94" s="4">
        <v>0.53877314814814814</v>
      </c>
      <c r="G94" s="3">
        <v>0</v>
      </c>
      <c r="H94" s="23" t="s">
        <v>36</v>
      </c>
      <c r="I94" s="34">
        <v>2457469</v>
      </c>
      <c r="J94" s="5">
        <v>0</v>
      </c>
      <c r="K94" s="3"/>
      <c r="L94" s="3" t="s">
        <v>37</v>
      </c>
      <c r="M94" s="3" t="s">
        <v>38</v>
      </c>
      <c r="N94" s="3">
        <v>10576</v>
      </c>
      <c r="O94" s="2">
        <v>46129</v>
      </c>
      <c r="P94" s="3" t="s">
        <v>39</v>
      </c>
      <c r="Q94" s="5">
        <v>35510974.159999996</v>
      </c>
    </row>
    <row r="95" spans="1:17" x14ac:dyDescent="0.35">
      <c r="A95" s="27">
        <v>46129</v>
      </c>
      <c r="B95" s="3">
        <v>273144</v>
      </c>
      <c r="C95" s="23" t="s">
        <v>34</v>
      </c>
      <c r="D95" s="3" t="s">
        <v>183</v>
      </c>
      <c r="E95" s="3" t="s">
        <v>20</v>
      </c>
      <c r="F95" s="4">
        <v>0.50521990740740741</v>
      </c>
      <c r="G95" s="3">
        <v>0</v>
      </c>
      <c r="H95" s="23" t="s">
        <v>36</v>
      </c>
      <c r="I95" s="34">
        <v>2278855</v>
      </c>
      <c r="J95" s="5">
        <v>0</v>
      </c>
      <c r="K95" s="3"/>
      <c r="L95" s="3" t="s">
        <v>147</v>
      </c>
      <c r="M95" s="3" t="s">
        <v>148</v>
      </c>
      <c r="N95" s="3">
        <v>17540</v>
      </c>
      <c r="O95" s="2">
        <v>46129</v>
      </c>
      <c r="P95" s="3" t="s">
        <v>134</v>
      </c>
      <c r="Q95" s="5">
        <v>33232119.16</v>
      </c>
    </row>
    <row r="96" spans="1:17" x14ac:dyDescent="0.35">
      <c r="A96" s="27">
        <v>46129</v>
      </c>
      <c r="B96" s="3">
        <v>163470</v>
      </c>
      <c r="C96" s="23" t="s">
        <v>34</v>
      </c>
      <c r="D96" s="3" t="s">
        <v>184</v>
      </c>
      <c r="E96" s="3" t="s">
        <v>20</v>
      </c>
      <c r="F96" s="4">
        <v>0.38725694444444442</v>
      </c>
      <c r="G96" s="3">
        <v>0</v>
      </c>
      <c r="H96" s="23" t="s">
        <v>36</v>
      </c>
      <c r="I96" s="34">
        <v>10688370</v>
      </c>
      <c r="J96" s="5">
        <v>0</v>
      </c>
      <c r="K96" s="3"/>
      <c r="L96" s="3" t="s">
        <v>64</v>
      </c>
      <c r="M96" s="3" t="s">
        <v>185</v>
      </c>
      <c r="N96" s="3">
        <v>16303</v>
      </c>
      <c r="O96" s="2">
        <v>46129</v>
      </c>
      <c r="P96" s="3" t="s">
        <v>58</v>
      </c>
      <c r="Q96" s="5">
        <v>22543749.16</v>
      </c>
    </row>
    <row r="97" spans="1:17" x14ac:dyDescent="0.35">
      <c r="A97" s="27">
        <v>46128</v>
      </c>
      <c r="B97" s="3">
        <v>99999999</v>
      </c>
      <c r="C97" s="23" t="s">
        <v>18</v>
      </c>
      <c r="D97" s="3" t="s">
        <v>19</v>
      </c>
      <c r="E97" s="3" t="s">
        <v>20</v>
      </c>
      <c r="F97" s="4">
        <v>0.99998842592592596</v>
      </c>
      <c r="G97" s="3">
        <v>41</v>
      </c>
      <c r="H97" s="23" t="s">
        <v>21</v>
      </c>
      <c r="I97" s="34">
        <v>6022.64</v>
      </c>
      <c r="J97" s="5">
        <v>0</v>
      </c>
      <c r="K97" s="3"/>
      <c r="L97" s="3" t="s">
        <v>22</v>
      </c>
      <c r="M97" s="3" t="s">
        <v>22</v>
      </c>
      <c r="N97" s="3">
        <v>0</v>
      </c>
      <c r="O97" s="2">
        <v>46128</v>
      </c>
      <c r="P97" s="3" t="s">
        <v>23</v>
      </c>
      <c r="Q97" s="5">
        <v>0</v>
      </c>
    </row>
    <row r="98" spans="1:17" x14ac:dyDescent="0.35">
      <c r="A98" s="27">
        <v>46128</v>
      </c>
      <c r="B98" s="3">
        <v>99999998</v>
      </c>
      <c r="C98" s="23" t="s">
        <v>18</v>
      </c>
      <c r="D98" s="3" t="s">
        <v>19</v>
      </c>
      <c r="E98" s="3" t="s">
        <v>20</v>
      </c>
      <c r="F98" s="4">
        <v>0.99998842592592596</v>
      </c>
      <c r="G98" s="3">
        <v>40</v>
      </c>
      <c r="H98" s="23" t="s">
        <v>24</v>
      </c>
      <c r="I98" s="34">
        <v>1051</v>
      </c>
      <c r="J98" s="5">
        <v>0</v>
      </c>
      <c r="K98" s="3"/>
      <c r="L98" s="3" t="s">
        <v>22</v>
      </c>
      <c r="M98" s="3" t="s">
        <v>22</v>
      </c>
      <c r="N98" s="3">
        <v>0</v>
      </c>
      <c r="O98" s="2">
        <v>46128</v>
      </c>
      <c r="P98" s="3" t="s">
        <v>23</v>
      </c>
      <c r="Q98" s="5">
        <v>0</v>
      </c>
    </row>
    <row r="99" spans="1:17" x14ac:dyDescent="0.35">
      <c r="A99" s="27">
        <v>46128</v>
      </c>
      <c r="B99" s="3">
        <v>367656</v>
      </c>
      <c r="C99" s="23" t="s">
        <v>34</v>
      </c>
      <c r="D99" s="3" t="s">
        <v>186</v>
      </c>
      <c r="E99" s="3" t="s">
        <v>20</v>
      </c>
      <c r="F99" s="4">
        <v>0.54500000000000004</v>
      </c>
      <c r="G99" s="3">
        <v>0</v>
      </c>
      <c r="H99" s="23" t="s">
        <v>36</v>
      </c>
      <c r="I99" s="34">
        <v>959700</v>
      </c>
      <c r="J99" s="5">
        <v>0</v>
      </c>
      <c r="K99" s="3"/>
      <c r="L99" s="3" t="s">
        <v>187</v>
      </c>
      <c r="M99" s="3" t="s">
        <v>188</v>
      </c>
      <c r="N99" s="3">
        <v>11429</v>
      </c>
      <c r="O99" s="2">
        <v>46128</v>
      </c>
      <c r="P99" s="3" t="s">
        <v>30</v>
      </c>
      <c r="Q99" s="5">
        <v>21584049.16</v>
      </c>
    </row>
    <row r="100" spans="1:17" x14ac:dyDescent="0.35">
      <c r="A100" s="27">
        <v>46128</v>
      </c>
      <c r="B100" s="3">
        <v>733093</v>
      </c>
      <c r="C100" s="23" t="s">
        <v>18</v>
      </c>
      <c r="D100" s="3" t="s">
        <v>31</v>
      </c>
      <c r="E100" s="3" t="s">
        <v>20</v>
      </c>
      <c r="F100" s="4">
        <v>0.52533564814814815</v>
      </c>
      <c r="G100" s="3">
        <v>177</v>
      </c>
      <c r="H100" s="23" t="s">
        <v>44</v>
      </c>
      <c r="I100" s="34">
        <v>5530</v>
      </c>
      <c r="J100" s="5">
        <v>0</v>
      </c>
      <c r="K100" s="3"/>
      <c r="L100" s="3" t="s">
        <v>189</v>
      </c>
      <c r="M100" s="3" t="s">
        <v>189</v>
      </c>
      <c r="N100" s="3">
        <v>30</v>
      </c>
      <c r="O100" s="2">
        <v>46128</v>
      </c>
      <c r="P100" s="3" t="s">
        <v>30</v>
      </c>
      <c r="Q100" s="5">
        <v>23083584.399999999</v>
      </c>
    </row>
    <row r="101" spans="1:17" x14ac:dyDescent="0.35">
      <c r="A101" s="27">
        <v>46128</v>
      </c>
      <c r="B101" s="3">
        <v>733092</v>
      </c>
      <c r="C101" s="23" t="s">
        <v>18</v>
      </c>
      <c r="D101" s="3" t="s">
        <v>31</v>
      </c>
      <c r="E101" s="3" t="s">
        <v>20</v>
      </c>
      <c r="F101" s="4">
        <v>0.52533564814814815</v>
      </c>
      <c r="G101" s="3">
        <v>80</v>
      </c>
      <c r="H101" s="23" t="s">
        <v>190</v>
      </c>
      <c r="I101" s="34">
        <v>1486980</v>
      </c>
      <c r="J101" s="5">
        <v>0</v>
      </c>
      <c r="K101" s="3">
        <v>9013803446</v>
      </c>
      <c r="L101" s="3" t="s">
        <v>191</v>
      </c>
      <c r="M101" s="3" t="s">
        <v>48</v>
      </c>
      <c r="N101" s="3">
        <v>93</v>
      </c>
      <c r="O101" s="2">
        <v>46128</v>
      </c>
      <c r="P101" s="3" t="s">
        <v>30</v>
      </c>
      <c r="Q101" s="5">
        <v>23076977.079999998</v>
      </c>
    </row>
    <row r="102" spans="1:17" x14ac:dyDescent="0.35">
      <c r="A102" s="27">
        <v>46128</v>
      </c>
      <c r="B102" s="3">
        <v>29510899</v>
      </c>
      <c r="C102" s="23" t="s">
        <v>18</v>
      </c>
      <c r="D102" s="3" t="s">
        <v>192</v>
      </c>
      <c r="E102" s="3" t="s">
        <v>20</v>
      </c>
      <c r="F102" s="4">
        <v>0.51682870370370371</v>
      </c>
      <c r="G102" s="3">
        <v>115</v>
      </c>
      <c r="H102" s="23" t="s">
        <v>193</v>
      </c>
      <c r="I102" s="34">
        <v>12100</v>
      </c>
      <c r="J102" s="5">
        <v>0</v>
      </c>
      <c r="K102" s="3"/>
      <c r="L102" s="3" t="s">
        <v>194</v>
      </c>
      <c r="M102" s="3" t="s">
        <v>29</v>
      </c>
      <c r="N102" s="3">
        <v>410067</v>
      </c>
      <c r="O102" s="2">
        <v>46128</v>
      </c>
      <c r="P102" s="3" t="s">
        <v>30</v>
      </c>
      <c r="Q102" s="5">
        <v>23095732.800000001</v>
      </c>
    </row>
    <row r="103" spans="1:17" x14ac:dyDescent="0.35">
      <c r="A103" s="27">
        <v>46128</v>
      </c>
      <c r="B103" s="3">
        <v>902</v>
      </c>
      <c r="C103" s="23" t="s">
        <v>25</v>
      </c>
      <c r="D103" s="3" t="s">
        <v>72</v>
      </c>
      <c r="E103" s="3" t="s">
        <v>20</v>
      </c>
      <c r="F103" s="4">
        <v>0.31252314814814813</v>
      </c>
      <c r="G103" s="3">
        <v>349</v>
      </c>
      <c r="H103" s="23" t="s">
        <v>73</v>
      </c>
      <c r="I103" s="34">
        <v>6676</v>
      </c>
      <c r="J103" s="5">
        <v>0</v>
      </c>
      <c r="K103" s="3"/>
      <c r="L103" s="3" t="s">
        <v>29</v>
      </c>
      <c r="M103" s="3" t="s">
        <v>29</v>
      </c>
      <c r="N103" s="3">
        <v>877</v>
      </c>
      <c r="O103" s="2">
        <v>46127</v>
      </c>
      <c r="P103" s="3" t="s">
        <v>30</v>
      </c>
      <c r="Q103" s="5">
        <v>23089056.800000001</v>
      </c>
    </row>
    <row r="104" spans="1:17" x14ac:dyDescent="0.35">
      <c r="A104" s="27">
        <v>46127</v>
      </c>
      <c r="B104" s="3">
        <v>99999999</v>
      </c>
      <c r="C104" s="23" t="s">
        <v>18</v>
      </c>
      <c r="D104" s="3" t="s">
        <v>19</v>
      </c>
      <c r="E104" s="3" t="s">
        <v>20</v>
      </c>
      <c r="F104" s="4">
        <v>0.99998842592592596</v>
      </c>
      <c r="G104" s="3">
        <v>41</v>
      </c>
      <c r="H104" s="23" t="s">
        <v>21</v>
      </c>
      <c r="I104" s="34">
        <v>14341.03</v>
      </c>
      <c r="J104" s="5">
        <v>0</v>
      </c>
      <c r="K104" s="3"/>
      <c r="L104" s="3" t="s">
        <v>22</v>
      </c>
      <c r="M104" s="3" t="s">
        <v>22</v>
      </c>
      <c r="N104" s="3">
        <v>0</v>
      </c>
      <c r="O104" s="2">
        <v>46127</v>
      </c>
      <c r="P104" s="3" t="s">
        <v>23</v>
      </c>
      <c r="Q104" s="5">
        <v>0</v>
      </c>
    </row>
    <row r="105" spans="1:17" x14ac:dyDescent="0.35">
      <c r="A105" s="27">
        <v>46127</v>
      </c>
      <c r="B105" s="3">
        <v>99999998</v>
      </c>
      <c r="C105" s="23" t="s">
        <v>18</v>
      </c>
      <c r="D105" s="3" t="s">
        <v>19</v>
      </c>
      <c r="E105" s="3" t="s">
        <v>20</v>
      </c>
      <c r="F105" s="4">
        <v>0.99998842592592596</v>
      </c>
      <c r="G105" s="3">
        <v>40</v>
      </c>
      <c r="H105" s="23" t="s">
        <v>24</v>
      </c>
      <c r="I105" s="34">
        <v>2476</v>
      </c>
      <c r="J105" s="5">
        <v>0</v>
      </c>
      <c r="K105" s="3"/>
      <c r="L105" s="3" t="s">
        <v>22</v>
      </c>
      <c r="M105" s="3" t="s">
        <v>22</v>
      </c>
      <c r="N105" s="3">
        <v>0</v>
      </c>
      <c r="O105" s="2">
        <v>46127</v>
      </c>
      <c r="P105" s="3" t="s">
        <v>23</v>
      </c>
      <c r="Q105" s="5">
        <v>0</v>
      </c>
    </row>
    <row r="106" spans="1:17" ht="29" x14ac:dyDescent="0.35">
      <c r="A106" s="27">
        <v>46127</v>
      </c>
      <c r="B106" s="3">
        <v>19210006</v>
      </c>
      <c r="C106" s="23" t="s">
        <v>25</v>
      </c>
      <c r="D106" s="3" t="s">
        <v>59</v>
      </c>
      <c r="E106" s="3" t="s">
        <v>20</v>
      </c>
      <c r="F106" s="4">
        <v>0.80625000000000002</v>
      </c>
      <c r="G106" s="3">
        <v>6</v>
      </c>
      <c r="H106" s="23" t="s">
        <v>195</v>
      </c>
      <c r="I106" s="34">
        <v>332902</v>
      </c>
      <c r="J106" s="5">
        <v>0</v>
      </c>
      <c r="K106" s="3">
        <v>79601566</v>
      </c>
      <c r="L106" s="3" t="s">
        <v>196</v>
      </c>
      <c r="M106" s="3" t="s">
        <v>197</v>
      </c>
      <c r="N106" s="3">
        <v>2285</v>
      </c>
      <c r="O106" s="2">
        <v>46127</v>
      </c>
      <c r="P106" s="3" t="s">
        <v>30</v>
      </c>
      <c r="Q106" s="5">
        <v>22756154.800000001</v>
      </c>
    </row>
    <row r="107" spans="1:17" ht="29" x14ac:dyDescent="0.35">
      <c r="A107" s="27">
        <v>46127</v>
      </c>
      <c r="B107" s="3">
        <v>19201931</v>
      </c>
      <c r="C107" s="23" t="s">
        <v>25</v>
      </c>
      <c r="D107" s="3" t="s">
        <v>59</v>
      </c>
      <c r="E107" s="3" t="s">
        <v>20</v>
      </c>
      <c r="F107" s="4">
        <v>0.80577546296296299</v>
      </c>
      <c r="G107" s="3">
        <v>6</v>
      </c>
      <c r="H107" s="23" t="s">
        <v>195</v>
      </c>
      <c r="I107" s="34">
        <v>604877</v>
      </c>
      <c r="J107" s="5">
        <v>0</v>
      </c>
      <c r="K107" s="3">
        <v>79601566</v>
      </c>
      <c r="L107" s="3" t="s">
        <v>196</v>
      </c>
      <c r="M107" s="3" t="s">
        <v>197</v>
      </c>
      <c r="N107" s="3">
        <v>2287</v>
      </c>
      <c r="O107" s="2">
        <v>46127</v>
      </c>
      <c r="P107" s="3" t="s">
        <v>30</v>
      </c>
      <c r="Q107" s="5">
        <v>22151277.800000001</v>
      </c>
    </row>
    <row r="108" spans="1:17" ht="29" x14ac:dyDescent="0.35">
      <c r="A108" s="27">
        <v>46127</v>
      </c>
      <c r="B108" s="3">
        <v>386839</v>
      </c>
      <c r="C108" s="23" t="s">
        <v>25</v>
      </c>
      <c r="D108" s="3" t="s">
        <v>49</v>
      </c>
      <c r="E108" s="3" t="s">
        <v>20</v>
      </c>
      <c r="F108" s="4">
        <v>0.67427083333333337</v>
      </c>
      <c r="G108" s="3">
        <v>6</v>
      </c>
      <c r="H108" s="23" t="s">
        <v>198</v>
      </c>
      <c r="I108" s="34">
        <v>2406897</v>
      </c>
      <c r="J108" s="5">
        <v>0</v>
      </c>
      <c r="K108" s="3">
        <v>8002315960</v>
      </c>
      <c r="L108" s="3" t="s">
        <v>199</v>
      </c>
      <c r="M108" s="3" t="s">
        <v>29</v>
      </c>
      <c r="N108" s="3">
        <v>4544</v>
      </c>
      <c r="O108" s="2">
        <v>46127</v>
      </c>
      <c r="P108" s="3" t="s">
        <v>30</v>
      </c>
      <c r="Q108" s="5">
        <v>19744380.800000001</v>
      </c>
    </row>
    <row r="109" spans="1:17" ht="29" x14ac:dyDescent="0.35">
      <c r="A109" s="27">
        <v>46127</v>
      </c>
      <c r="B109" s="3">
        <v>51702</v>
      </c>
      <c r="C109" s="23" t="s">
        <v>25</v>
      </c>
      <c r="D109" s="3" t="s">
        <v>49</v>
      </c>
      <c r="E109" s="3" t="s">
        <v>20</v>
      </c>
      <c r="F109" s="4">
        <v>0.46773148148148147</v>
      </c>
      <c r="G109" s="3">
        <v>6</v>
      </c>
      <c r="H109" s="23" t="s">
        <v>200</v>
      </c>
      <c r="I109" s="34">
        <v>900000</v>
      </c>
      <c r="J109" s="5">
        <v>0</v>
      </c>
      <c r="K109" s="3">
        <v>9016127541</v>
      </c>
      <c r="L109" s="3" t="s">
        <v>201</v>
      </c>
      <c r="M109" s="3" t="s">
        <v>29</v>
      </c>
      <c r="N109" s="3">
        <v>4543</v>
      </c>
      <c r="O109" s="2">
        <v>46127</v>
      </c>
      <c r="P109" s="3" t="s">
        <v>30</v>
      </c>
      <c r="Q109" s="5">
        <v>18844380.800000001</v>
      </c>
    </row>
    <row r="110" spans="1:17" x14ac:dyDescent="0.35">
      <c r="A110" s="27">
        <v>46127</v>
      </c>
      <c r="B110" s="3">
        <v>7019385</v>
      </c>
      <c r="C110" s="23" t="s">
        <v>18</v>
      </c>
      <c r="D110" s="3" t="s">
        <v>31</v>
      </c>
      <c r="E110" s="3" t="s">
        <v>20</v>
      </c>
      <c r="F110" s="4">
        <v>0.42561342592592594</v>
      </c>
      <c r="G110" s="3">
        <v>349</v>
      </c>
      <c r="H110" s="23" t="s">
        <v>79</v>
      </c>
      <c r="I110" s="34">
        <v>700000</v>
      </c>
      <c r="J110" s="5">
        <v>0</v>
      </c>
      <c r="K110" s="3"/>
      <c r="L110" s="3" t="s">
        <v>202</v>
      </c>
      <c r="M110" s="3" t="s">
        <v>29</v>
      </c>
      <c r="N110" s="3">
        <v>4438</v>
      </c>
      <c r="O110" s="2">
        <v>46127</v>
      </c>
      <c r="P110" s="3" t="s">
        <v>30</v>
      </c>
      <c r="Q110" s="5">
        <v>19547180.800000001</v>
      </c>
    </row>
    <row r="111" spans="1:17" x14ac:dyDescent="0.35">
      <c r="A111" s="27">
        <v>46127</v>
      </c>
      <c r="B111" s="3">
        <v>19384</v>
      </c>
      <c r="C111" s="23" t="s">
        <v>18</v>
      </c>
      <c r="D111" s="3" t="s">
        <v>31</v>
      </c>
      <c r="E111" s="3" t="s">
        <v>20</v>
      </c>
      <c r="F111" s="4">
        <v>0.42560185185185184</v>
      </c>
      <c r="G111" s="3">
        <v>80</v>
      </c>
      <c r="H111" s="23" t="s">
        <v>179</v>
      </c>
      <c r="I111" s="34">
        <v>2869753.67</v>
      </c>
      <c r="J111" s="5">
        <v>0</v>
      </c>
      <c r="K111" s="3"/>
      <c r="L111" s="3" t="s">
        <v>29</v>
      </c>
      <c r="M111" s="3" t="s">
        <v>29</v>
      </c>
      <c r="N111" s="3">
        <v>20</v>
      </c>
      <c r="O111" s="2">
        <v>46127</v>
      </c>
      <c r="P111" s="3" t="s">
        <v>30</v>
      </c>
      <c r="Q111" s="5">
        <v>22428413.48</v>
      </c>
    </row>
    <row r="112" spans="1:17" x14ac:dyDescent="0.35">
      <c r="A112" s="27">
        <v>46127</v>
      </c>
      <c r="B112" s="3">
        <v>19383</v>
      </c>
      <c r="C112" s="23" t="s">
        <v>18</v>
      </c>
      <c r="D112" s="3" t="s">
        <v>31</v>
      </c>
      <c r="E112" s="3" t="s">
        <v>20</v>
      </c>
      <c r="F112" s="4">
        <v>0.42560185185185184</v>
      </c>
      <c r="G112" s="3">
        <v>177</v>
      </c>
      <c r="H112" s="23" t="s">
        <v>44</v>
      </c>
      <c r="I112" s="34">
        <v>5530</v>
      </c>
      <c r="J112" s="5">
        <v>0</v>
      </c>
      <c r="K112" s="3"/>
      <c r="L112" s="3" t="s">
        <v>202</v>
      </c>
      <c r="M112" s="3" t="s">
        <v>202</v>
      </c>
      <c r="N112" s="3">
        <v>40</v>
      </c>
      <c r="O112" s="2">
        <v>46127</v>
      </c>
      <c r="P112" s="3" t="s">
        <v>30</v>
      </c>
      <c r="Q112" s="5">
        <v>22435020.800000001</v>
      </c>
    </row>
    <row r="113" spans="1:17" x14ac:dyDescent="0.35">
      <c r="A113" s="27">
        <v>46127</v>
      </c>
      <c r="B113" s="3">
        <v>19382</v>
      </c>
      <c r="C113" s="23" t="s">
        <v>18</v>
      </c>
      <c r="D113" s="3" t="s">
        <v>31</v>
      </c>
      <c r="E113" s="3" t="s">
        <v>20</v>
      </c>
      <c r="F113" s="4">
        <v>0.42560185185185184</v>
      </c>
      <c r="G113" s="3">
        <v>351</v>
      </c>
      <c r="H113" s="23" t="s">
        <v>81</v>
      </c>
      <c r="I113" s="34">
        <v>7500</v>
      </c>
      <c r="J113" s="5">
        <v>0</v>
      </c>
      <c r="K113" s="3"/>
      <c r="L113" s="3" t="s">
        <v>202</v>
      </c>
      <c r="M113" s="3" t="s">
        <v>202</v>
      </c>
      <c r="N113" s="3">
        <v>30</v>
      </c>
      <c r="O113" s="2">
        <v>46127</v>
      </c>
      <c r="P113" s="3" t="s">
        <v>30</v>
      </c>
      <c r="Q113" s="5">
        <v>22443981.5</v>
      </c>
    </row>
    <row r="114" spans="1:17" x14ac:dyDescent="0.35">
      <c r="A114" s="27">
        <v>46127</v>
      </c>
      <c r="B114" s="3">
        <v>601966</v>
      </c>
      <c r="C114" s="23" t="s">
        <v>34</v>
      </c>
      <c r="D114" s="3" t="s">
        <v>83</v>
      </c>
      <c r="E114" s="3" t="s">
        <v>20</v>
      </c>
      <c r="F114" s="4">
        <v>0.38033564814814813</v>
      </c>
      <c r="G114" s="3">
        <v>0</v>
      </c>
      <c r="H114" s="23" t="s">
        <v>36</v>
      </c>
      <c r="I114" s="34">
        <v>890536.5</v>
      </c>
      <c r="J114" s="5">
        <v>0</v>
      </c>
      <c r="K114" s="3"/>
      <c r="L114" s="3" t="s">
        <v>37</v>
      </c>
      <c r="M114" s="3" t="s">
        <v>38</v>
      </c>
      <c r="N114" s="3">
        <v>17119</v>
      </c>
      <c r="O114" s="2">
        <v>46127</v>
      </c>
      <c r="P114" s="3" t="s">
        <v>39</v>
      </c>
      <c r="Q114" s="5">
        <v>21553445</v>
      </c>
    </row>
    <row r="115" spans="1:17" x14ac:dyDescent="0.35">
      <c r="A115" s="27">
        <v>46126</v>
      </c>
      <c r="B115" s="3">
        <v>99999999</v>
      </c>
      <c r="C115" s="23" t="s">
        <v>18</v>
      </c>
      <c r="D115" s="3" t="s">
        <v>19</v>
      </c>
      <c r="E115" s="3" t="s">
        <v>20</v>
      </c>
      <c r="F115" s="4">
        <v>0.99998842592592596</v>
      </c>
      <c r="G115" s="3">
        <v>41</v>
      </c>
      <c r="H115" s="23" t="s">
        <v>21</v>
      </c>
      <c r="I115" s="34">
        <v>233.71</v>
      </c>
      <c r="J115" s="5">
        <v>0</v>
      </c>
      <c r="K115" s="3"/>
      <c r="L115" s="3" t="s">
        <v>22</v>
      </c>
      <c r="M115" s="3" t="s">
        <v>22</v>
      </c>
      <c r="N115" s="3">
        <v>0</v>
      </c>
      <c r="O115" s="2">
        <v>46126</v>
      </c>
      <c r="P115" s="3" t="s">
        <v>23</v>
      </c>
      <c r="Q115" s="5">
        <v>0</v>
      </c>
    </row>
    <row r="116" spans="1:17" x14ac:dyDescent="0.35">
      <c r="A116" s="27">
        <v>46126</v>
      </c>
      <c r="B116" s="3">
        <v>99999998</v>
      </c>
      <c r="C116" s="23" t="s">
        <v>18</v>
      </c>
      <c r="D116" s="3" t="s">
        <v>19</v>
      </c>
      <c r="E116" s="3" t="s">
        <v>20</v>
      </c>
      <c r="F116" s="4">
        <v>0.99998842592592596</v>
      </c>
      <c r="G116" s="3">
        <v>40</v>
      </c>
      <c r="H116" s="23" t="s">
        <v>24</v>
      </c>
      <c r="I116" s="34">
        <v>9329</v>
      </c>
      <c r="J116" s="5">
        <v>0</v>
      </c>
      <c r="K116" s="3"/>
      <c r="L116" s="3" t="s">
        <v>22</v>
      </c>
      <c r="M116" s="3" t="s">
        <v>22</v>
      </c>
      <c r="N116" s="3">
        <v>0</v>
      </c>
      <c r="O116" s="2">
        <v>46126</v>
      </c>
      <c r="P116" s="3" t="s">
        <v>23</v>
      </c>
      <c r="Q116" s="5">
        <v>0</v>
      </c>
    </row>
    <row r="117" spans="1:17" x14ac:dyDescent="0.35">
      <c r="A117" s="27">
        <v>46126</v>
      </c>
      <c r="B117" s="3">
        <v>260200</v>
      </c>
      <c r="C117" s="23" t="s">
        <v>25</v>
      </c>
      <c r="D117" s="3" t="s">
        <v>26</v>
      </c>
      <c r="E117" s="3" t="s">
        <v>20</v>
      </c>
      <c r="F117" s="4">
        <v>0.77332175925925928</v>
      </c>
      <c r="G117" s="3">
        <v>300</v>
      </c>
      <c r="H117" s="23" t="s">
        <v>27</v>
      </c>
      <c r="I117" s="34">
        <v>2619785</v>
      </c>
      <c r="J117" s="5">
        <v>0</v>
      </c>
      <c r="K117" s="3"/>
      <c r="L117" s="3" t="s">
        <v>203</v>
      </c>
      <c r="M117" s="3" t="s">
        <v>29</v>
      </c>
      <c r="N117" s="3">
        <v>1387</v>
      </c>
      <c r="O117" s="2">
        <v>46126</v>
      </c>
      <c r="P117" s="3" t="s">
        <v>30</v>
      </c>
      <c r="Q117" s="5">
        <v>18933660</v>
      </c>
    </row>
    <row r="118" spans="1:17" x14ac:dyDescent="0.35">
      <c r="A118" s="27">
        <v>46126</v>
      </c>
      <c r="B118" s="3">
        <v>56517</v>
      </c>
      <c r="C118" s="23" t="s">
        <v>18</v>
      </c>
      <c r="D118" s="3" t="s">
        <v>72</v>
      </c>
      <c r="E118" s="3" t="s">
        <v>20</v>
      </c>
      <c r="F118" s="4">
        <v>0.71315972222222224</v>
      </c>
      <c r="G118" s="3">
        <v>67</v>
      </c>
      <c r="H118" s="23" t="s">
        <v>204</v>
      </c>
      <c r="I118" s="34">
        <v>24501</v>
      </c>
      <c r="J118" s="5">
        <v>0</v>
      </c>
      <c r="K118" s="3"/>
      <c r="L118" s="3" t="s">
        <v>205</v>
      </c>
      <c r="M118" s="3" t="s">
        <v>206</v>
      </c>
      <c r="N118" s="3">
        <v>920</v>
      </c>
      <c r="O118" s="2">
        <v>46126</v>
      </c>
      <c r="P118" s="3" t="s">
        <v>30</v>
      </c>
      <c r="Q118" s="5">
        <v>18962932.620000001</v>
      </c>
    </row>
    <row r="119" spans="1:17" x14ac:dyDescent="0.35">
      <c r="A119" s="27">
        <v>46126</v>
      </c>
      <c r="B119" s="3">
        <v>56516</v>
      </c>
      <c r="C119" s="23" t="s">
        <v>18</v>
      </c>
      <c r="D119" s="3" t="s">
        <v>72</v>
      </c>
      <c r="E119" s="3" t="s">
        <v>20</v>
      </c>
      <c r="F119" s="4">
        <v>0.71315972222222224</v>
      </c>
      <c r="G119" s="3">
        <v>67</v>
      </c>
      <c r="H119" s="23" t="s">
        <v>204</v>
      </c>
      <c r="I119" s="34">
        <v>24600</v>
      </c>
      <c r="J119" s="5">
        <v>0</v>
      </c>
      <c r="K119" s="3"/>
      <c r="L119" s="3" t="s">
        <v>205</v>
      </c>
      <c r="M119" s="3" t="s">
        <v>207</v>
      </c>
      <c r="N119" s="3">
        <v>920</v>
      </c>
      <c r="O119" s="2">
        <v>46126</v>
      </c>
      <c r="P119" s="3" t="s">
        <v>30</v>
      </c>
      <c r="Q119" s="5">
        <v>18992323.710000001</v>
      </c>
    </row>
    <row r="120" spans="1:17" x14ac:dyDescent="0.35">
      <c r="A120" s="27">
        <v>46126</v>
      </c>
      <c r="B120" s="3">
        <v>15280485</v>
      </c>
      <c r="C120" s="23" t="s">
        <v>25</v>
      </c>
      <c r="D120" s="3" t="s">
        <v>59</v>
      </c>
      <c r="E120" s="3" t="s">
        <v>20</v>
      </c>
      <c r="F120" s="4">
        <v>0.64449074074074075</v>
      </c>
      <c r="G120" s="3">
        <v>6</v>
      </c>
      <c r="H120" s="23" t="s">
        <v>106</v>
      </c>
      <c r="I120" s="34">
        <v>229194</v>
      </c>
      <c r="J120" s="5">
        <v>0</v>
      </c>
      <c r="K120" s="3">
        <v>16770118</v>
      </c>
      <c r="L120" s="3" t="s">
        <v>107</v>
      </c>
      <c r="M120" s="3" t="s">
        <v>108</v>
      </c>
      <c r="N120" s="3">
        <v>2227</v>
      </c>
      <c r="O120" s="2">
        <v>46126</v>
      </c>
      <c r="P120" s="3" t="s">
        <v>30</v>
      </c>
      <c r="Q120" s="5">
        <v>18763129.710000001</v>
      </c>
    </row>
    <row r="121" spans="1:17" x14ac:dyDescent="0.35">
      <c r="A121" s="27">
        <v>46126</v>
      </c>
      <c r="B121" s="3">
        <v>12014228</v>
      </c>
      <c r="C121" s="23" t="s">
        <v>25</v>
      </c>
      <c r="D121" s="3" t="s">
        <v>59</v>
      </c>
      <c r="E121" s="3" t="s">
        <v>20</v>
      </c>
      <c r="F121" s="4">
        <v>0.50118055555555552</v>
      </c>
      <c r="G121" s="3">
        <v>6</v>
      </c>
      <c r="H121" s="23" t="s">
        <v>106</v>
      </c>
      <c r="I121" s="34">
        <v>1413482</v>
      </c>
      <c r="J121" s="5">
        <v>0</v>
      </c>
      <c r="K121" s="3">
        <v>16770118</v>
      </c>
      <c r="L121" s="3" t="s">
        <v>107</v>
      </c>
      <c r="M121" s="3" t="s">
        <v>108</v>
      </c>
      <c r="N121" s="3">
        <v>2248</v>
      </c>
      <c r="O121" s="2">
        <v>46126</v>
      </c>
      <c r="P121" s="3" t="s">
        <v>30</v>
      </c>
      <c r="Q121" s="5">
        <v>17349647.710000001</v>
      </c>
    </row>
    <row r="122" spans="1:17" ht="29" x14ac:dyDescent="0.35">
      <c r="A122" s="27">
        <v>46126</v>
      </c>
      <c r="B122" s="3">
        <v>616000</v>
      </c>
      <c r="C122" s="23" t="s">
        <v>25</v>
      </c>
      <c r="D122" s="3" t="s">
        <v>49</v>
      </c>
      <c r="E122" s="3" t="s">
        <v>20</v>
      </c>
      <c r="F122" s="4">
        <v>0.39337962962962963</v>
      </c>
      <c r="G122" s="3">
        <v>6</v>
      </c>
      <c r="H122" s="23" t="s">
        <v>208</v>
      </c>
      <c r="I122" s="34">
        <v>23940</v>
      </c>
      <c r="J122" s="5">
        <v>0</v>
      </c>
      <c r="K122" s="3">
        <v>9017040641</v>
      </c>
      <c r="L122" s="3" t="s">
        <v>209</v>
      </c>
      <c r="M122" s="3" t="s">
        <v>29</v>
      </c>
      <c r="N122" s="3">
        <v>4544</v>
      </c>
      <c r="O122" s="2">
        <v>46126</v>
      </c>
      <c r="P122" s="3" t="s">
        <v>30</v>
      </c>
      <c r="Q122" s="5">
        <v>17325707.710000001</v>
      </c>
    </row>
    <row r="123" spans="1:17" ht="29" x14ac:dyDescent="0.35">
      <c r="A123" s="27">
        <v>46126</v>
      </c>
      <c r="B123" s="3">
        <v>610444</v>
      </c>
      <c r="C123" s="23" t="s">
        <v>25</v>
      </c>
      <c r="D123" s="3" t="s">
        <v>49</v>
      </c>
      <c r="E123" s="3" t="s">
        <v>20</v>
      </c>
      <c r="F123" s="4">
        <v>0.38042824074074072</v>
      </c>
      <c r="G123" s="3">
        <v>80</v>
      </c>
      <c r="H123" s="23" t="s">
        <v>66</v>
      </c>
      <c r="I123" s="34">
        <v>2963100</v>
      </c>
      <c r="J123" s="5">
        <v>0</v>
      </c>
      <c r="K123" s="3">
        <v>9011300131</v>
      </c>
      <c r="L123" s="3" t="s">
        <v>67</v>
      </c>
      <c r="M123" s="3" t="s">
        <v>210</v>
      </c>
      <c r="N123" s="3">
        <v>4517</v>
      </c>
      <c r="O123" s="2">
        <v>46126</v>
      </c>
      <c r="P123" s="3" t="s">
        <v>30</v>
      </c>
      <c r="Q123" s="5">
        <v>14362607.710000001</v>
      </c>
    </row>
    <row r="124" spans="1:17" x14ac:dyDescent="0.35">
      <c r="A124" s="27">
        <v>46125</v>
      </c>
      <c r="B124" s="3">
        <v>99999999</v>
      </c>
      <c r="C124" s="23" t="s">
        <v>18</v>
      </c>
      <c r="D124" s="3" t="s">
        <v>19</v>
      </c>
      <c r="E124" s="3" t="s">
        <v>20</v>
      </c>
      <c r="F124" s="4">
        <v>0.99998842592592596</v>
      </c>
      <c r="G124" s="3">
        <v>41</v>
      </c>
      <c r="H124" s="23" t="s">
        <v>21</v>
      </c>
      <c r="I124" s="34">
        <v>517192.02</v>
      </c>
      <c r="J124" s="5">
        <v>0</v>
      </c>
      <c r="K124" s="3"/>
      <c r="L124" s="3" t="s">
        <v>22</v>
      </c>
      <c r="M124" s="3" t="s">
        <v>22</v>
      </c>
      <c r="N124" s="3">
        <v>0</v>
      </c>
      <c r="O124" s="2">
        <v>46125</v>
      </c>
      <c r="P124" s="3" t="s">
        <v>23</v>
      </c>
      <c r="Q124" s="5">
        <v>0</v>
      </c>
    </row>
    <row r="125" spans="1:17" x14ac:dyDescent="0.35">
      <c r="A125" s="27">
        <v>46125</v>
      </c>
      <c r="B125" s="3">
        <v>99999998</v>
      </c>
      <c r="C125" s="23" t="s">
        <v>18</v>
      </c>
      <c r="D125" s="3" t="s">
        <v>19</v>
      </c>
      <c r="E125" s="3" t="s">
        <v>20</v>
      </c>
      <c r="F125" s="4">
        <v>0.99998842592592596</v>
      </c>
      <c r="G125" s="3">
        <v>40</v>
      </c>
      <c r="H125" s="23" t="s">
        <v>24</v>
      </c>
      <c r="I125" s="34">
        <v>7053</v>
      </c>
      <c r="J125" s="5">
        <v>0</v>
      </c>
      <c r="K125" s="3"/>
      <c r="L125" s="3" t="s">
        <v>22</v>
      </c>
      <c r="M125" s="3" t="s">
        <v>22</v>
      </c>
      <c r="N125" s="3">
        <v>0</v>
      </c>
      <c r="O125" s="2">
        <v>46125</v>
      </c>
      <c r="P125" s="3" t="s">
        <v>23</v>
      </c>
      <c r="Q125" s="5">
        <v>0</v>
      </c>
    </row>
    <row r="126" spans="1:17" x14ac:dyDescent="0.35">
      <c r="A126" s="27">
        <v>46125</v>
      </c>
      <c r="B126" s="3">
        <v>190131</v>
      </c>
      <c r="C126" s="23" t="s">
        <v>18</v>
      </c>
      <c r="D126" s="3" t="s">
        <v>72</v>
      </c>
      <c r="E126" s="3" t="s">
        <v>20</v>
      </c>
      <c r="F126" s="4">
        <v>0.79237268518518522</v>
      </c>
      <c r="G126" s="3">
        <v>61</v>
      </c>
      <c r="H126" s="23" t="s">
        <v>211</v>
      </c>
      <c r="I126" s="34">
        <v>17847592</v>
      </c>
      <c r="J126" s="5">
        <v>0</v>
      </c>
      <c r="K126" s="3"/>
      <c r="L126" s="3" t="s">
        <v>212</v>
      </c>
      <c r="M126" s="3" t="s">
        <v>94</v>
      </c>
      <c r="N126" s="3">
        <v>571</v>
      </c>
      <c r="O126" s="2">
        <v>46125</v>
      </c>
      <c r="P126" s="3" t="s">
        <v>30</v>
      </c>
      <c r="Q126" s="5">
        <v>32281590.07</v>
      </c>
    </row>
    <row r="127" spans="1:17" x14ac:dyDescent="0.35">
      <c r="A127" s="27">
        <v>46125</v>
      </c>
      <c r="B127" s="3">
        <v>6521874</v>
      </c>
      <c r="C127" s="23" t="s">
        <v>18</v>
      </c>
      <c r="D127" s="3" t="s">
        <v>31</v>
      </c>
      <c r="E127" s="3" t="s">
        <v>20</v>
      </c>
      <c r="F127" s="4">
        <v>0.67714120370370368</v>
      </c>
      <c r="G127" s="3">
        <v>349</v>
      </c>
      <c r="H127" s="23" t="s">
        <v>79</v>
      </c>
      <c r="I127" s="34">
        <v>1900000</v>
      </c>
      <c r="J127" s="5">
        <v>0</v>
      </c>
      <c r="K127" s="3"/>
      <c r="L127" s="3" t="s">
        <v>213</v>
      </c>
      <c r="M127" s="3" t="s">
        <v>29</v>
      </c>
      <c r="N127" s="3">
        <v>4400</v>
      </c>
      <c r="O127" s="2">
        <v>46125</v>
      </c>
      <c r="P127" s="3" t="s">
        <v>30</v>
      </c>
      <c r="Q127" s="5">
        <v>34189190.07</v>
      </c>
    </row>
    <row r="128" spans="1:17" x14ac:dyDescent="0.35">
      <c r="A128" s="27">
        <v>46125</v>
      </c>
      <c r="B128" s="3">
        <v>521873</v>
      </c>
      <c r="C128" s="23" t="s">
        <v>18</v>
      </c>
      <c r="D128" s="3" t="s">
        <v>31</v>
      </c>
      <c r="E128" s="3" t="s">
        <v>20</v>
      </c>
      <c r="F128" s="4">
        <v>0.67714120370370368</v>
      </c>
      <c r="G128" s="3">
        <v>80</v>
      </c>
      <c r="H128" s="23" t="s">
        <v>179</v>
      </c>
      <c r="I128" s="34">
        <v>88475319.310000002</v>
      </c>
      <c r="J128" s="5">
        <v>0</v>
      </c>
      <c r="K128" s="3"/>
      <c r="L128" s="3" t="s">
        <v>29</v>
      </c>
      <c r="M128" s="3" t="s">
        <v>29</v>
      </c>
      <c r="N128" s="3">
        <v>33</v>
      </c>
      <c r="O128" s="2">
        <v>46125</v>
      </c>
      <c r="P128" s="3" t="s">
        <v>30</v>
      </c>
      <c r="Q128" s="5">
        <v>123018410.65000001</v>
      </c>
    </row>
    <row r="129" spans="1:17" x14ac:dyDescent="0.35">
      <c r="A129" s="27">
        <v>46125</v>
      </c>
      <c r="B129" s="3">
        <v>521872</v>
      </c>
      <c r="C129" s="23" t="s">
        <v>18</v>
      </c>
      <c r="D129" s="3" t="s">
        <v>31</v>
      </c>
      <c r="E129" s="3" t="s">
        <v>20</v>
      </c>
      <c r="F129" s="4">
        <v>0.67714120370370368</v>
      </c>
      <c r="G129" s="3">
        <v>177</v>
      </c>
      <c r="H129" s="23" t="s">
        <v>44</v>
      </c>
      <c r="I129" s="34">
        <v>16591</v>
      </c>
      <c r="J129" s="5">
        <v>0</v>
      </c>
      <c r="K129" s="3"/>
      <c r="L129" s="3" t="s">
        <v>213</v>
      </c>
      <c r="M129" s="3" t="s">
        <v>213</v>
      </c>
      <c r="N129" s="3">
        <v>95</v>
      </c>
      <c r="O129" s="2">
        <v>46125</v>
      </c>
      <c r="P129" s="3" t="s">
        <v>30</v>
      </c>
      <c r="Q129" s="5">
        <v>123038232.62</v>
      </c>
    </row>
    <row r="130" spans="1:17" x14ac:dyDescent="0.35">
      <c r="A130" s="27">
        <v>46125</v>
      </c>
      <c r="B130" s="3">
        <v>521871</v>
      </c>
      <c r="C130" s="23" t="s">
        <v>18</v>
      </c>
      <c r="D130" s="3" t="s">
        <v>31</v>
      </c>
      <c r="E130" s="3" t="s">
        <v>20</v>
      </c>
      <c r="F130" s="4">
        <v>0.67712962962962964</v>
      </c>
      <c r="G130" s="3">
        <v>351</v>
      </c>
      <c r="H130" s="23" t="s">
        <v>81</v>
      </c>
      <c r="I130" s="34">
        <v>15000</v>
      </c>
      <c r="J130" s="5">
        <v>0</v>
      </c>
      <c r="K130" s="3"/>
      <c r="L130" s="3" t="s">
        <v>213</v>
      </c>
      <c r="M130" s="3" t="s">
        <v>213</v>
      </c>
      <c r="N130" s="3">
        <v>31</v>
      </c>
      <c r="O130" s="2">
        <v>46125</v>
      </c>
      <c r="P130" s="3" t="s">
        <v>30</v>
      </c>
      <c r="Q130" s="5">
        <v>123056154.02</v>
      </c>
    </row>
    <row r="131" spans="1:17" x14ac:dyDescent="0.35">
      <c r="A131" s="27">
        <v>46125</v>
      </c>
      <c r="B131" s="3">
        <v>521856</v>
      </c>
      <c r="C131" s="23" t="s">
        <v>18</v>
      </c>
      <c r="D131" s="3" t="s">
        <v>31</v>
      </c>
      <c r="E131" s="3" t="s">
        <v>20</v>
      </c>
      <c r="F131" s="4">
        <v>0.67712962962962964</v>
      </c>
      <c r="G131" s="3">
        <v>177</v>
      </c>
      <c r="H131" s="23" t="s">
        <v>44</v>
      </c>
      <c r="I131" s="34">
        <v>5530</v>
      </c>
      <c r="J131" s="5">
        <v>0</v>
      </c>
      <c r="K131" s="3"/>
      <c r="L131" s="3" t="s">
        <v>214</v>
      </c>
      <c r="M131" s="3" t="s">
        <v>214</v>
      </c>
      <c r="N131" s="3">
        <v>16</v>
      </c>
      <c r="O131" s="2">
        <v>46125</v>
      </c>
      <c r="P131" s="3" t="s">
        <v>30</v>
      </c>
      <c r="Q131" s="5">
        <v>144177810.05000001</v>
      </c>
    </row>
    <row r="132" spans="1:17" x14ac:dyDescent="0.35">
      <c r="A132" s="27">
        <v>46125</v>
      </c>
      <c r="B132" s="3">
        <v>521855</v>
      </c>
      <c r="C132" s="23" t="s">
        <v>18</v>
      </c>
      <c r="D132" s="3" t="s">
        <v>31</v>
      </c>
      <c r="E132" s="3" t="s">
        <v>20</v>
      </c>
      <c r="F132" s="4">
        <v>0.67712962962962964</v>
      </c>
      <c r="G132" s="3">
        <v>80</v>
      </c>
      <c r="H132" s="23" t="s">
        <v>46</v>
      </c>
      <c r="I132" s="34">
        <v>21030925.010000002</v>
      </c>
      <c r="J132" s="5">
        <v>0</v>
      </c>
      <c r="K132" s="3">
        <v>8600509061</v>
      </c>
      <c r="L132" s="3" t="s">
        <v>47</v>
      </c>
      <c r="M132" s="3" t="s">
        <v>48</v>
      </c>
      <c r="N132" s="3">
        <v>72</v>
      </c>
      <c r="O132" s="2">
        <v>46125</v>
      </c>
      <c r="P132" s="3" t="s">
        <v>30</v>
      </c>
      <c r="Q132" s="5">
        <v>144171202.72999999</v>
      </c>
    </row>
    <row r="133" spans="1:17" x14ac:dyDescent="0.35">
      <c r="A133" s="27">
        <v>46125</v>
      </c>
      <c r="B133" s="3">
        <v>597425</v>
      </c>
      <c r="C133" s="23" t="s">
        <v>34</v>
      </c>
      <c r="D133" s="3" t="s">
        <v>215</v>
      </c>
      <c r="E133" s="3" t="s">
        <v>20</v>
      </c>
      <c r="F133" s="4">
        <v>0.66304398148148147</v>
      </c>
      <c r="G133" s="3">
        <v>0</v>
      </c>
      <c r="H133" s="23" t="s">
        <v>36</v>
      </c>
      <c r="I133" s="34">
        <v>2133624</v>
      </c>
      <c r="J133" s="5">
        <v>0</v>
      </c>
      <c r="K133" s="3"/>
      <c r="L133" s="3" t="s">
        <v>216</v>
      </c>
      <c r="M133" s="3" t="s">
        <v>217</v>
      </c>
      <c r="N133" s="3">
        <v>17041</v>
      </c>
      <c r="O133" s="2">
        <v>46125</v>
      </c>
      <c r="P133" s="3" t="s">
        <v>218</v>
      </c>
      <c r="Q133" s="5">
        <v>142044186.05000001</v>
      </c>
    </row>
    <row r="134" spans="1:17" x14ac:dyDescent="0.35">
      <c r="A134" s="27">
        <v>46125</v>
      </c>
      <c r="B134" s="3">
        <v>621945</v>
      </c>
      <c r="C134" s="23" t="s">
        <v>34</v>
      </c>
      <c r="D134" s="3" t="s">
        <v>219</v>
      </c>
      <c r="E134" s="3" t="s">
        <v>20</v>
      </c>
      <c r="F134" s="4">
        <v>0.65123842592592596</v>
      </c>
      <c r="G134" s="3">
        <v>0</v>
      </c>
      <c r="H134" s="23" t="s">
        <v>36</v>
      </c>
      <c r="I134" s="34">
        <v>9047000</v>
      </c>
      <c r="J134" s="5">
        <v>0</v>
      </c>
      <c r="K134" s="3"/>
      <c r="L134" s="3" t="s">
        <v>220</v>
      </c>
      <c r="M134" s="3" t="s">
        <v>221</v>
      </c>
      <c r="N134" s="3">
        <v>12813</v>
      </c>
      <c r="O134" s="2">
        <v>46125</v>
      </c>
      <c r="P134" s="3" t="s">
        <v>219</v>
      </c>
      <c r="Q134" s="5">
        <v>132997186.05</v>
      </c>
    </row>
    <row r="135" spans="1:17" ht="29" x14ac:dyDescent="0.35">
      <c r="A135" s="27">
        <v>46125</v>
      </c>
      <c r="B135" s="3">
        <v>486723</v>
      </c>
      <c r="C135" s="23" t="s">
        <v>25</v>
      </c>
      <c r="D135" s="3" t="s">
        <v>49</v>
      </c>
      <c r="E135" s="3" t="s">
        <v>20</v>
      </c>
      <c r="F135" s="4">
        <v>0.64460648148148147</v>
      </c>
      <c r="G135" s="3">
        <v>6</v>
      </c>
      <c r="H135" s="23" t="s">
        <v>222</v>
      </c>
      <c r="I135" s="34">
        <v>2182752</v>
      </c>
      <c r="J135" s="5">
        <v>0</v>
      </c>
      <c r="K135" s="3">
        <v>9012271541</v>
      </c>
      <c r="L135" s="3" t="s">
        <v>223</v>
      </c>
      <c r="M135" s="3" t="s">
        <v>29</v>
      </c>
      <c r="N135" s="3">
        <v>4542</v>
      </c>
      <c r="O135" s="2">
        <v>46125</v>
      </c>
      <c r="P135" s="3" t="s">
        <v>30</v>
      </c>
      <c r="Q135" s="5">
        <v>130814434.05</v>
      </c>
    </row>
    <row r="136" spans="1:17" ht="29" x14ac:dyDescent="0.35">
      <c r="A136" s="27">
        <v>46125</v>
      </c>
      <c r="B136" s="3">
        <v>877912</v>
      </c>
      <c r="C136" s="23" t="s">
        <v>34</v>
      </c>
      <c r="D136" s="3" t="s">
        <v>224</v>
      </c>
      <c r="E136" s="3" t="s">
        <v>20</v>
      </c>
      <c r="F136" s="4">
        <v>0.60174768518518518</v>
      </c>
      <c r="G136" s="3">
        <v>0</v>
      </c>
      <c r="H136" s="23" t="s">
        <v>36</v>
      </c>
      <c r="I136" s="34">
        <v>4983979</v>
      </c>
      <c r="J136" s="5">
        <v>0</v>
      </c>
      <c r="K136" s="3"/>
      <c r="L136" s="3" t="s">
        <v>169</v>
      </c>
      <c r="M136" s="3" t="s">
        <v>225</v>
      </c>
      <c r="N136" s="3">
        <v>10477</v>
      </c>
      <c r="O136" s="2">
        <v>46125</v>
      </c>
      <c r="P136" s="3" t="s">
        <v>134</v>
      </c>
      <c r="Q136" s="5">
        <v>125830455.05</v>
      </c>
    </row>
    <row r="137" spans="1:17" ht="29" x14ac:dyDescent="0.35">
      <c r="A137" s="27">
        <v>46125</v>
      </c>
      <c r="B137" s="3">
        <v>434930</v>
      </c>
      <c r="C137" s="23" t="s">
        <v>25</v>
      </c>
      <c r="D137" s="3" t="s">
        <v>49</v>
      </c>
      <c r="E137" s="3" t="s">
        <v>20</v>
      </c>
      <c r="F137" s="4">
        <v>0.53452546296296299</v>
      </c>
      <c r="G137" s="3">
        <v>6</v>
      </c>
      <c r="H137" s="23" t="s">
        <v>226</v>
      </c>
      <c r="I137" s="34">
        <v>436135</v>
      </c>
      <c r="J137" s="5">
        <v>0</v>
      </c>
      <c r="K137" s="3">
        <v>34538407</v>
      </c>
      <c r="L137" s="3" t="s">
        <v>227</v>
      </c>
      <c r="M137" s="3" t="s">
        <v>29</v>
      </c>
      <c r="N137" s="3">
        <v>4543</v>
      </c>
      <c r="O137" s="2">
        <v>46125</v>
      </c>
      <c r="P137" s="3" t="s">
        <v>30</v>
      </c>
      <c r="Q137" s="5">
        <v>125394320.05</v>
      </c>
    </row>
    <row r="138" spans="1:17" x14ac:dyDescent="0.35">
      <c r="A138" s="27">
        <v>46125</v>
      </c>
      <c r="B138" s="3">
        <v>175826</v>
      </c>
      <c r="C138" s="23" t="s">
        <v>34</v>
      </c>
      <c r="D138" s="3" t="s">
        <v>184</v>
      </c>
      <c r="E138" s="3" t="s">
        <v>20</v>
      </c>
      <c r="F138" s="4">
        <v>0.45524305555555555</v>
      </c>
      <c r="G138" s="3">
        <v>0</v>
      </c>
      <c r="H138" s="23" t="s">
        <v>36</v>
      </c>
      <c r="I138" s="34">
        <v>43274787</v>
      </c>
      <c r="J138" s="5">
        <v>0</v>
      </c>
      <c r="K138" s="3"/>
      <c r="L138" s="3" t="s">
        <v>64</v>
      </c>
      <c r="M138" s="3" t="s">
        <v>185</v>
      </c>
      <c r="N138" s="3">
        <v>16299</v>
      </c>
      <c r="O138" s="2">
        <v>46125</v>
      </c>
      <c r="P138" s="3" t="s">
        <v>58</v>
      </c>
      <c r="Q138" s="5">
        <v>82119533.049999997</v>
      </c>
    </row>
    <row r="139" spans="1:17" x14ac:dyDescent="0.35">
      <c r="A139" s="27">
        <v>46123</v>
      </c>
      <c r="B139" s="3">
        <v>620500</v>
      </c>
      <c r="C139" s="23" t="s">
        <v>25</v>
      </c>
      <c r="D139" s="3" t="s">
        <v>26</v>
      </c>
      <c r="E139" s="3" t="s">
        <v>20</v>
      </c>
      <c r="F139" s="4">
        <v>0.52363425925925922</v>
      </c>
      <c r="G139" s="3">
        <v>300</v>
      </c>
      <c r="H139" s="23" t="s">
        <v>27</v>
      </c>
      <c r="I139" s="34">
        <v>536800</v>
      </c>
      <c r="J139" s="5">
        <v>0</v>
      </c>
      <c r="K139" s="3"/>
      <c r="L139" s="3" t="s">
        <v>228</v>
      </c>
      <c r="M139" s="3" t="s">
        <v>29</v>
      </c>
      <c r="N139" s="3">
        <v>1387</v>
      </c>
      <c r="O139" s="2">
        <v>46123</v>
      </c>
      <c r="P139" s="3" t="s">
        <v>30</v>
      </c>
      <c r="Q139" s="5">
        <v>81582733.049999997</v>
      </c>
    </row>
    <row r="140" spans="1:17" x14ac:dyDescent="0.35">
      <c r="A140" s="27">
        <v>46122</v>
      </c>
      <c r="B140" s="3">
        <v>99999999</v>
      </c>
      <c r="C140" s="23" t="s">
        <v>18</v>
      </c>
      <c r="D140" s="3" t="s">
        <v>19</v>
      </c>
      <c r="E140" s="3" t="s">
        <v>20</v>
      </c>
      <c r="F140" s="4">
        <v>0.99998842592592596</v>
      </c>
      <c r="G140" s="3">
        <v>41</v>
      </c>
      <c r="H140" s="23" t="s">
        <v>21</v>
      </c>
      <c r="I140" s="34">
        <v>198525.69</v>
      </c>
      <c r="J140" s="5">
        <v>0</v>
      </c>
      <c r="K140" s="3"/>
      <c r="L140" s="3" t="s">
        <v>22</v>
      </c>
      <c r="M140" s="3" t="s">
        <v>22</v>
      </c>
      <c r="N140" s="3">
        <v>0</v>
      </c>
      <c r="O140" s="2">
        <v>46122</v>
      </c>
      <c r="P140" s="3" t="s">
        <v>23</v>
      </c>
      <c r="Q140" s="5">
        <v>0</v>
      </c>
    </row>
    <row r="141" spans="1:17" x14ac:dyDescent="0.35">
      <c r="A141" s="27">
        <v>46122</v>
      </c>
      <c r="B141" s="3">
        <v>99999998</v>
      </c>
      <c r="C141" s="23" t="s">
        <v>18</v>
      </c>
      <c r="D141" s="3" t="s">
        <v>19</v>
      </c>
      <c r="E141" s="3" t="s">
        <v>20</v>
      </c>
      <c r="F141" s="4">
        <v>0.99998842592592596</v>
      </c>
      <c r="G141" s="3">
        <v>40</v>
      </c>
      <c r="H141" s="23" t="s">
        <v>24</v>
      </c>
      <c r="I141" s="34">
        <v>4577</v>
      </c>
      <c r="J141" s="5">
        <v>0</v>
      </c>
      <c r="K141" s="3"/>
      <c r="L141" s="3" t="s">
        <v>22</v>
      </c>
      <c r="M141" s="3" t="s">
        <v>22</v>
      </c>
      <c r="N141" s="3">
        <v>0</v>
      </c>
      <c r="O141" s="2">
        <v>46122</v>
      </c>
      <c r="P141" s="3" t="s">
        <v>23</v>
      </c>
      <c r="Q141" s="5">
        <v>0</v>
      </c>
    </row>
    <row r="142" spans="1:17" x14ac:dyDescent="0.35">
      <c r="A142" s="27">
        <v>46122</v>
      </c>
      <c r="B142" s="3">
        <v>190071</v>
      </c>
      <c r="C142" s="23" t="s">
        <v>18</v>
      </c>
      <c r="D142" s="3" t="s">
        <v>72</v>
      </c>
      <c r="E142" s="3" t="s">
        <v>20</v>
      </c>
      <c r="F142" s="4">
        <v>0.79230324074074077</v>
      </c>
      <c r="G142" s="3">
        <v>61</v>
      </c>
      <c r="H142" s="23" t="s">
        <v>229</v>
      </c>
      <c r="I142" s="34">
        <v>3645158</v>
      </c>
      <c r="J142" s="5">
        <v>0</v>
      </c>
      <c r="K142" s="3"/>
      <c r="L142" s="3" t="s">
        <v>230</v>
      </c>
      <c r="M142" s="3" t="s">
        <v>94</v>
      </c>
      <c r="N142" s="3">
        <v>571</v>
      </c>
      <c r="O142" s="2">
        <v>46122</v>
      </c>
      <c r="P142" s="3" t="s">
        <v>30</v>
      </c>
      <c r="Q142" s="5">
        <v>85242471.680000007</v>
      </c>
    </row>
    <row r="143" spans="1:17" x14ac:dyDescent="0.35">
      <c r="A143" s="27">
        <v>46122</v>
      </c>
      <c r="B143" s="3">
        <v>6247756</v>
      </c>
      <c r="C143" s="23" t="s">
        <v>18</v>
      </c>
      <c r="D143" s="3" t="s">
        <v>31</v>
      </c>
      <c r="E143" s="3" t="s">
        <v>20</v>
      </c>
      <c r="F143" s="4">
        <v>0.63973379629629634</v>
      </c>
      <c r="G143" s="3">
        <v>349</v>
      </c>
      <c r="H143" s="23" t="s">
        <v>79</v>
      </c>
      <c r="I143" s="34">
        <v>800000</v>
      </c>
      <c r="J143" s="5">
        <v>0</v>
      </c>
      <c r="K143" s="3"/>
      <c r="L143" s="3" t="s">
        <v>231</v>
      </c>
      <c r="M143" s="3" t="s">
        <v>29</v>
      </c>
      <c r="N143" s="3">
        <v>4441</v>
      </c>
      <c r="O143" s="2">
        <v>46122</v>
      </c>
      <c r="P143" s="3" t="s">
        <v>30</v>
      </c>
      <c r="Q143" s="5">
        <v>86045671.680000007</v>
      </c>
    </row>
    <row r="144" spans="1:17" x14ac:dyDescent="0.35">
      <c r="A144" s="27">
        <v>46122</v>
      </c>
      <c r="B144" s="3">
        <v>247755</v>
      </c>
      <c r="C144" s="23" t="s">
        <v>18</v>
      </c>
      <c r="D144" s="3" t="s">
        <v>31</v>
      </c>
      <c r="E144" s="3" t="s">
        <v>20</v>
      </c>
      <c r="F144" s="4">
        <v>0.63973379629629634</v>
      </c>
      <c r="G144" s="3">
        <v>80</v>
      </c>
      <c r="H144" s="23" t="s">
        <v>179</v>
      </c>
      <c r="I144" s="34">
        <v>45157599.899999999</v>
      </c>
      <c r="J144" s="5">
        <v>0</v>
      </c>
      <c r="K144" s="3"/>
      <c r="L144" s="3" t="s">
        <v>29</v>
      </c>
      <c r="M144" s="3" t="s">
        <v>29</v>
      </c>
      <c r="N144" s="3">
        <v>23</v>
      </c>
      <c r="O144" s="2">
        <v>46122</v>
      </c>
      <c r="P144" s="3" t="s">
        <v>30</v>
      </c>
      <c r="Q144" s="5">
        <v>131383901.97</v>
      </c>
    </row>
    <row r="145" spans="1:17" x14ac:dyDescent="0.35">
      <c r="A145" s="27">
        <v>46122</v>
      </c>
      <c r="B145" s="3">
        <v>247754</v>
      </c>
      <c r="C145" s="23" t="s">
        <v>18</v>
      </c>
      <c r="D145" s="3" t="s">
        <v>31</v>
      </c>
      <c r="E145" s="3" t="s">
        <v>20</v>
      </c>
      <c r="F145" s="4">
        <v>0.63973379629629634</v>
      </c>
      <c r="G145" s="3">
        <v>177</v>
      </c>
      <c r="H145" s="23" t="s">
        <v>44</v>
      </c>
      <c r="I145" s="34">
        <v>16591</v>
      </c>
      <c r="J145" s="5">
        <v>0</v>
      </c>
      <c r="K145" s="3"/>
      <c r="L145" s="3" t="s">
        <v>231</v>
      </c>
      <c r="M145" s="3" t="s">
        <v>231</v>
      </c>
      <c r="N145" s="3">
        <v>35</v>
      </c>
      <c r="O145" s="2">
        <v>46122</v>
      </c>
      <c r="P145" s="3" t="s">
        <v>30</v>
      </c>
      <c r="Q145" s="5">
        <v>131403723.94</v>
      </c>
    </row>
    <row r="146" spans="1:17" x14ac:dyDescent="0.35">
      <c r="A146" s="27">
        <v>46122</v>
      </c>
      <c r="B146" s="3">
        <v>247753</v>
      </c>
      <c r="C146" s="23" t="s">
        <v>18</v>
      </c>
      <c r="D146" s="3" t="s">
        <v>31</v>
      </c>
      <c r="E146" s="3" t="s">
        <v>20</v>
      </c>
      <c r="F146" s="4">
        <v>0.63973379629629634</v>
      </c>
      <c r="G146" s="3">
        <v>351</v>
      </c>
      <c r="H146" s="23" t="s">
        <v>81</v>
      </c>
      <c r="I146" s="34">
        <v>7500</v>
      </c>
      <c r="J146" s="5">
        <v>0</v>
      </c>
      <c r="K146" s="3"/>
      <c r="L146" s="3" t="s">
        <v>231</v>
      </c>
      <c r="M146" s="3" t="s">
        <v>231</v>
      </c>
      <c r="N146" s="3">
        <v>14</v>
      </c>
      <c r="O146" s="2">
        <v>46122</v>
      </c>
      <c r="P146" s="3" t="s">
        <v>30</v>
      </c>
      <c r="Q146" s="5">
        <v>131412684.64</v>
      </c>
    </row>
    <row r="147" spans="1:17" x14ac:dyDescent="0.35">
      <c r="A147" s="27">
        <v>46122</v>
      </c>
      <c r="B147" s="3">
        <v>176023</v>
      </c>
      <c r="C147" s="23" t="s">
        <v>34</v>
      </c>
      <c r="D147" s="3" t="s">
        <v>167</v>
      </c>
      <c r="E147" s="3" t="s">
        <v>20</v>
      </c>
      <c r="F147" s="4">
        <v>0.59703703703703703</v>
      </c>
      <c r="G147" s="3">
        <v>0</v>
      </c>
      <c r="H147" s="23" t="s">
        <v>36</v>
      </c>
      <c r="I147" s="34">
        <v>1943246.21</v>
      </c>
      <c r="J147" s="5">
        <v>0</v>
      </c>
      <c r="K147" s="3"/>
      <c r="L147" s="3" t="s">
        <v>37</v>
      </c>
      <c r="M147" s="3" t="s">
        <v>38</v>
      </c>
      <c r="N147" s="3">
        <v>14218</v>
      </c>
      <c r="O147" s="2">
        <v>46122</v>
      </c>
      <c r="P147" s="3" t="s">
        <v>39</v>
      </c>
      <c r="Q147" s="5">
        <v>129469438.43000001</v>
      </c>
    </row>
    <row r="148" spans="1:17" x14ac:dyDescent="0.35">
      <c r="A148" s="27">
        <v>46122</v>
      </c>
      <c r="B148" s="3">
        <v>300588</v>
      </c>
      <c r="C148" s="23" t="s">
        <v>34</v>
      </c>
      <c r="D148" s="3" t="s">
        <v>184</v>
      </c>
      <c r="E148" s="3" t="s">
        <v>20</v>
      </c>
      <c r="F148" s="4">
        <v>0.55018518518518522</v>
      </c>
      <c r="G148" s="3">
        <v>0</v>
      </c>
      <c r="H148" s="23" t="s">
        <v>36</v>
      </c>
      <c r="I148" s="34">
        <v>70000000</v>
      </c>
      <c r="J148" s="5">
        <v>0</v>
      </c>
      <c r="K148" s="3"/>
      <c r="L148" s="3" t="s">
        <v>64</v>
      </c>
      <c r="M148" s="3" t="s">
        <v>185</v>
      </c>
      <c r="N148" s="3">
        <v>16304</v>
      </c>
      <c r="O148" s="2">
        <v>46122</v>
      </c>
      <c r="P148" s="3" t="s">
        <v>58</v>
      </c>
      <c r="Q148" s="5">
        <v>59469438.43</v>
      </c>
    </row>
    <row r="149" spans="1:17" x14ac:dyDescent="0.35">
      <c r="A149" s="27">
        <v>46122</v>
      </c>
      <c r="B149" s="3">
        <v>40300</v>
      </c>
      <c r="C149" s="23" t="s">
        <v>25</v>
      </c>
      <c r="D149" s="3" t="s">
        <v>26</v>
      </c>
      <c r="E149" s="3" t="s">
        <v>20</v>
      </c>
      <c r="F149" s="4">
        <v>0.54646990740740742</v>
      </c>
      <c r="G149" s="3">
        <v>300</v>
      </c>
      <c r="H149" s="23" t="s">
        <v>27</v>
      </c>
      <c r="I149" s="34">
        <v>298571</v>
      </c>
      <c r="J149" s="5">
        <v>0</v>
      </c>
      <c r="K149" s="3"/>
      <c r="L149" s="3" t="s">
        <v>77</v>
      </c>
      <c r="M149" s="3" t="s">
        <v>29</v>
      </c>
      <c r="N149" s="3">
        <v>1387</v>
      </c>
      <c r="O149" s="2">
        <v>46122</v>
      </c>
      <c r="P149" s="3" t="s">
        <v>30</v>
      </c>
      <c r="Q149" s="5">
        <v>59170867.43</v>
      </c>
    </row>
    <row r="150" spans="1:17" ht="29" x14ac:dyDescent="0.35">
      <c r="A150" s="27">
        <v>46122</v>
      </c>
      <c r="B150" s="3">
        <v>88274</v>
      </c>
      <c r="C150" s="23" t="s">
        <v>25</v>
      </c>
      <c r="D150" s="3" t="s">
        <v>31</v>
      </c>
      <c r="E150" s="3" t="s">
        <v>20</v>
      </c>
      <c r="F150" s="4">
        <v>0.48649305555555555</v>
      </c>
      <c r="G150" s="3">
        <v>28</v>
      </c>
      <c r="H150" s="23" t="s">
        <v>232</v>
      </c>
      <c r="I150" s="34">
        <v>540736</v>
      </c>
      <c r="J150" s="5">
        <v>0</v>
      </c>
      <c r="K150" s="3">
        <v>9002760705</v>
      </c>
      <c r="L150" s="3" t="s">
        <v>233</v>
      </c>
      <c r="M150" s="3" t="s">
        <v>29</v>
      </c>
      <c r="N150" s="3">
        <v>29</v>
      </c>
      <c r="O150" s="2">
        <v>46122</v>
      </c>
      <c r="P150" s="3" t="s">
        <v>30</v>
      </c>
      <c r="Q150" s="5">
        <v>58630131.43</v>
      </c>
    </row>
    <row r="151" spans="1:17" x14ac:dyDescent="0.35">
      <c r="A151" s="27">
        <v>46122</v>
      </c>
      <c r="B151" s="3">
        <v>930</v>
      </c>
      <c r="C151" s="23" t="s">
        <v>25</v>
      </c>
      <c r="D151" s="3" t="s">
        <v>72</v>
      </c>
      <c r="E151" s="3" t="s">
        <v>20</v>
      </c>
      <c r="F151" s="4">
        <v>0.31253472222222223</v>
      </c>
      <c r="G151" s="3">
        <v>349</v>
      </c>
      <c r="H151" s="23" t="s">
        <v>73</v>
      </c>
      <c r="I151" s="34">
        <v>222720</v>
      </c>
      <c r="J151" s="5">
        <v>0</v>
      </c>
      <c r="K151" s="3"/>
      <c r="L151" s="3" t="s">
        <v>29</v>
      </c>
      <c r="M151" s="3" t="s">
        <v>29</v>
      </c>
      <c r="N151" s="3">
        <v>876</v>
      </c>
      <c r="O151" s="2">
        <v>46121</v>
      </c>
      <c r="P151" s="3" t="s">
        <v>30</v>
      </c>
      <c r="Q151" s="5">
        <v>58407411.43</v>
      </c>
    </row>
    <row r="152" spans="1:17" x14ac:dyDescent="0.35">
      <c r="A152" s="27">
        <v>46121</v>
      </c>
      <c r="B152" s="3">
        <v>99999999</v>
      </c>
      <c r="C152" s="23" t="s">
        <v>18</v>
      </c>
      <c r="D152" s="3" t="s">
        <v>19</v>
      </c>
      <c r="E152" s="3" t="s">
        <v>20</v>
      </c>
      <c r="F152" s="4">
        <v>0.99998842592592596</v>
      </c>
      <c r="G152" s="3">
        <v>41</v>
      </c>
      <c r="H152" s="23" t="s">
        <v>21</v>
      </c>
      <c r="I152" s="34">
        <v>11787.1</v>
      </c>
      <c r="J152" s="5">
        <v>0</v>
      </c>
      <c r="K152" s="3"/>
      <c r="L152" s="3" t="s">
        <v>22</v>
      </c>
      <c r="M152" s="3" t="s">
        <v>22</v>
      </c>
      <c r="N152" s="3">
        <v>0</v>
      </c>
      <c r="O152" s="2">
        <v>46121</v>
      </c>
      <c r="P152" s="3" t="s">
        <v>23</v>
      </c>
      <c r="Q152" s="5">
        <v>0</v>
      </c>
    </row>
    <row r="153" spans="1:17" x14ac:dyDescent="0.35">
      <c r="A153" s="27">
        <v>46121</v>
      </c>
      <c r="B153" s="3">
        <v>99999998</v>
      </c>
      <c r="C153" s="23" t="s">
        <v>18</v>
      </c>
      <c r="D153" s="3" t="s">
        <v>19</v>
      </c>
      <c r="E153" s="3" t="s">
        <v>20</v>
      </c>
      <c r="F153" s="4">
        <v>0.99998842592592596</v>
      </c>
      <c r="G153" s="3">
        <v>40</v>
      </c>
      <c r="H153" s="23" t="s">
        <v>24</v>
      </c>
      <c r="I153" s="34">
        <v>4275</v>
      </c>
      <c r="J153" s="5">
        <v>0</v>
      </c>
      <c r="K153" s="3"/>
      <c r="L153" s="3" t="s">
        <v>22</v>
      </c>
      <c r="M153" s="3" t="s">
        <v>22</v>
      </c>
      <c r="N153" s="3">
        <v>0</v>
      </c>
      <c r="O153" s="2">
        <v>46121</v>
      </c>
      <c r="P153" s="3" t="s">
        <v>23</v>
      </c>
      <c r="Q153" s="5">
        <v>0</v>
      </c>
    </row>
    <row r="154" spans="1:17" ht="29" x14ac:dyDescent="0.35">
      <c r="A154" s="27">
        <v>46121</v>
      </c>
      <c r="B154" s="3">
        <v>18473287</v>
      </c>
      <c r="C154" s="23" t="s">
        <v>25</v>
      </c>
      <c r="D154" s="3" t="s">
        <v>59</v>
      </c>
      <c r="E154" s="3" t="s">
        <v>20</v>
      </c>
      <c r="F154" s="4">
        <v>0.78300925925925924</v>
      </c>
      <c r="G154" s="3">
        <v>6</v>
      </c>
      <c r="H154" s="23" t="s">
        <v>234</v>
      </c>
      <c r="I154" s="34">
        <v>12900680</v>
      </c>
      <c r="J154" s="5">
        <v>0</v>
      </c>
      <c r="K154" s="3">
        <v>37656584</v>
      </c>
      <c r="L154" s="3" t="s">
        <v>235</v>
      </c>
      <c r="M154" s="3" t="s">
        <v>236</v>
      </c>
      <c r="N154" s="3">
        <v>2285</v>
      </c>
      <c r="O154" s="2">
        <v>46121</v>
      </c>
      <c r="P154" s="3" t="s">
        <v>30</v>
      </c>
      <c r="Q154" s="5">
        <v>45506731.43</v>
      </c>
    </row>
    <row r="155" spans="1:17" ht="29" x14ac:dyDescent="0.35">
      <c r="A155" s="27">
        <v>46121</v>
      </c>
      <c r="B155" s="3">
        <v>918822</v>
      </c>
      <c r="C155" s="23" t="s">
        <v>25</v>
      </c>
      <c r="D155" s="3" t="s">
        <v>31</v>
      </c>
      <c r="E155" s="3" t="s">
        <v>20</v>
      </c>
      <c r="F155" s="4">
        <v>0.64064814814814819</v>
      </c>
      <c r="G155" s="3">
        <v>80</v>
      </c>
      <c r="H155" s="23" t="s">
        <v>144</v>
      </c>
      <c r="I155" s="34">
        <v>684834.15</v>
      </c>
      <c r="J155" s="5">
        <v>0</v>
      </c>
      <c r="K155" s="3">
        <v>8600571312</v>
      </c>
      <c r="L155" s="3" t="s">
        <v>145</v>
      </c>
      <c r="M155" s="3" t="s">
        <v>29</v>
      </c>
      <c r="N155" s="3">
        <v>27</v>
      </c>
      <c r="O155" s="2">
        <v>46121</v>
      </c>
      <c r="P155" s="3" t="s">
        <v>30</v>
      </c>
      <c r="Q155" s="5">
        <v>44821897.280000001</v>
      </c>
    </row>
    <row r="156" spans="1:17" x14ac:dyDescent="0.35">
      <c r="A156" s="27">
        <v>46121</v>
      </c>
      <c r="B156" s="3">
        <v>622363</v>
      </c>
      <c r="C156" s="23" t="s">
        <v>34</v>
      </c>
      <c r="D156" s="3" t="s">
        <v>237</v>
      </c>
      <c r="E156" s="3" t="s">
        <v>20</v>
      </c>
      <c r="F156" s="4">
        <v>0.59758101851851853</v>
      </c>
      <c r="G156" s="3">
        <v>0</v>
      </c>
      <c r="H156" s="23" t="s">
        <v>36</v>
      </c>
      <c r="I156" s="34">
        <v>1115604</v>
      </c>
      <c r="J156" s="5">
        <v>0</v>
      </c>
      <c r="K156" s="3"/>
      <c r="L156" s="3" t="s">
        <v>238</v>
      </c>
      <c r="M156" s="3" t="s">
        <v>239</v>
      </c>
      <c r="N156" s="3">
        <v>15628</v>
      </c>
      <c r="O156" s="2">
        <v>46121</v>
      </c>
      <c r="P156" s="3" t="s">
        <v>240</v>
      </c>
      <c r="Q156" s="5">
        <v>43706293.280000001</v>
      </c>
    </row>
    <row r="157" spans="1:17" x14ac:dyDescent="0.35">
      <c r="A157" s="27">
        <v>46121</v>
      </c>
      <c r="B157" s="3">
        <v>331600</v>
      </c>
      <c r="C157" s="23" t="s">
        <v>25</v>
      </c>
      <c r="D157" s="3" t="s">
        <v>26</v>
      </c>
      <c r="E157" s="3" t="s">
        <v>20</v>
      </c>
      <c r="F157" s="4">
        <v>0.56078703703703703</v>
      </c>
      <c r="G157" s="3">
        <v>300</v>
      </c>
      <c r="H157" s="23" t="s">
        <v>27</v>
      </c>
      <c r="I157" s="34">
        <v>287200</v>
      </c>
      <c r="J157" s="5">
        <v>0</v>
      </c>
      <c r="K157" s="3"/>
      <c r="L157" s="3" t="s">
        <v>78</v>
      </c>
      <c r="M157" s="3" t="s">
        <v>29</v>
      </c>
      <c r="N157" s="3">
        <v>1387</v>
      </c>
      <c r="O157" s="2">
        <v>46121</v>
      </c>
      <c r="P157" s="3" t="s">
        <v>30</v>
      </c>
      <c r="Q157" s="5">
        <v>43419093.280000001</v>
      </c>
    </row>
    <row r="158" spans="1:17" x14ac:dyDescent="0.35">
      <c r="A158" s="27">
        <v>46121</v>
      </c>
      <c r="B158" s="3">
        <v>5866410</v>
      </c>
      <c r="C158" s="23" t="s">
        <v>18</v>
      </c>
      <c r="D158" s="3" t="s">
        <v>31</v>
      </c>
      <c r="E158" s="3" t="s">
        <v>20</v>
      </c>
      <c r="F158" s="4">
        <v>0.52322916666666663</v>
      </c>
      <c r="G158" s="3">
        <v>349</v>
      </c>
      <c r="H158" s="23" t="s">
        <v>79</v>
      </c>
      <c r="I158" s="34">
        <v>2920000</v>
      </c>
      <c r="J158" s="5">
        <v>0</v>
      </c>
      <c r="K158" s="3"/>
      <c r="L158" s="3" t="s">
        <v>241</v>
      </c>
      <c r="M158" s="3" t="s">
        <v>29</v>
      </c>
      <c r="N158" s="3">
        <v>20</v>
      </c>
      <c r="O158" s="2">
        <v>46121</v>
      </c>
      <c r="P158" s="3" t="s">
        <v>30</v>
      </c>
      <c r="Q158" s="5">
        <v>46350773.280000001</v>
      </c>
    </row>
    <row r="159" spans="1:17" x14ac:dyDescent="0.35">
      <c r="A159" s="27">
        <v>46121</v>
      </c>
      <c r="B159" s="3">
        <v>866409</v>
      </c>
      <c r="C159" s="23" t="s">
        <v>18</v>
      </c>
      <c r="D159" s="3" t="s">
        <v>31</v>
      </c>
      <c r="E159" s="3" t="s">
        <v>20</v>
      </c>
      <c r="F159" s="4">
        <v>0.5232175925925926</v>
      </c>
      <c r="G159" s="3">
        <v>351</v>
      </c>
      <c r="H159" s="23" t="s">
        <v>81</v>
      </c>
      <c r="I159" s="34">
        <v>22500</v>
      </c>
      <c r="J159" s="5">
        <v>0</v>
      </c>
      <c r="K159" s="3"/>
      <c r="L159" s="3" t="s">
        <v>241</v>
      </c>
      <c r="M159" s="3" t="s">
        <v>241</v>
      </c>
      <c r="N159" s="3">
        <v>27</v>
      </c>
      <c r="O159" s="2">
        <v>46121</v>
      </c>
      <c r="P159" s="3" t="s">
        <v>30</v>
      </c>
      <c r="Q159" s="5">
        <v>46377655.380000003</v>
      </c>
    </row>
    <row r="160" spans="1:17" x14ac:dyDescent="0.35">
      <c r="A160" s="27">
        <v>46121</v>
      </c>
      <c r="B160" s="3">
        <v>5603881</v>
      </c>
      <c r="C160" s="23" t="s">
        <v>25</v>
      </c>
      <c r="D160" s="3" t="s">
        <v>160</v>
      </c>
      <c r="E160" s="3" t="s">
        <v>20</v>
      </c>
      <c r="F160" s="4">
        <v>0.42569444444444443</v>
      </c>
      <c r="G160" s="3">
        <v>29</v>
      </c>
      <c r="H160" s="23" t="s">
        <v>242</v>
      </c>
      <c r="I160" s="34">
        <v>1390796</v>
      </c>
      <c r="J160" s="5">
        <v>0</v>
      </c>
      <c r="K160" s="3">
        <v>9014497409</v>
      </c>
      <c r="L160" s="3" t="s">
        <v>243</v>
      </c>
      <c r="M160" s="3" t="s">
        <v>244</v>
      </c>
      <c r="N160" s="3">
        <v>689</v>
      </c>
      <c r="O160" s="2">
        <v>46121</v>
      </c>
      <c r="P160" s="3" t="s">
        <v>30</v>
      </c>
      <c r="Q160" s="5">
        <v>44986859.380000003</v>
      </c>
    </row>
    <row r="161" spans="1:17" x14ac:dyDescent="0.35">
      <c r="A161" s="27">
        <v>46120</v>
      </c>
      <c r="B161" s="3">
        <v>99999999</v>
      </c>
      <c r="C161" s="23" t="s">
        <v>18</v>
      </c>
      <c r="D161" s="3" t="s">
        <v>19</v>
      </c>
      <c r="E161" s="3" t="s">
        <v>20</v>
      </c>
      <c r="F161" s="4">
        <v>0.99998842592592596</v>
      </c>
      <c r="G161" s="3">
        <v>41</v>
      </c>
      <c r="H161" s="23" t="s">
        <v>21</v>
      </c>
      <c r="I161" s="34">
        <v>175949.62</v>
      </c>
      <c r="J161" s="5">
        <v>0</v>
      </c>
      <c r="K161" s="3"/>
      <c r="L161" s="3" t="s">
        <v>22</v>
      </c>
      <c r="M161" s="3" t="s">
        <v>22</v>
      </c>
      <c r="N161" s="3">
        <v>0</v>
      </c>
      <c r="O161" s="2">
        <v>46120</v>
      </c>
      <c r="P161" s="3" t="s">
        <v>23</v>
      </c>
      <c r="Q161" s="5">
        <v>0</v>
      </c>
    </row>
    <row r="162" spans="1:17" x14ac:dyDescent="0.35">
      <c r="A162" s="27">
        <v>46120</v>
      </c>
      <c r="B162" s="3">
        <v>99999998</v>
      </c>
      <c r="C162" s="23" t="s">
        <v>18</v>
      </c>
      <c r="D162" s="3" t="s">
        <v>19</v>
      </c>
      <c r="E162" s="3" t="s">
        <v>20</v>
      </c>
      <c r="F162" s="4">
        <v>0.99998842592592596</v>
      </c>
      <c r="G162" s="3">
        <v>40</v>
      </c>
      <c r="H162" s="23" t="s">
        <v>24</v>
      </c>
      <c r="I162" s="34">
        <v>2101</v>
      </c>
      <c r="J162" s="5">
        <v>0</v>
      </c>
      <c r="K162" s="3"/>
      <c r="L162" s="3" t="s">
        <v>22</v>
      </c>
      <c r="M162" s="3" t="s">
        <v>22</v>
      </c>
      <c r="N162" s="3">
        <v>0</v>
      </c>
      <c r="O162" s="2">
        <v>46120</v>
      </c>
      <c r="P162" s="3" t="s">
        <v>23</v>
      </c>
      <c r="Q162" s="5">
        <v>0</v>
      </c>
    </row>
    <row r="163" spans="1:17" ht="29" x14ac:dyDescent="0.35">
      <c r="A163" s="27">
        <v>46120</v>
      </c>
      <c r="B163" s="3">
        <v>18122660</v>
      </c>
      <c r="C163" s="23" t="s">
        <v>25</v>
      </c>
      <c r="D163" s="3" t="s">
        <v>59</v>
      </c>
      <c r="E163" s="3" t="s">
        <v>20</v>
      </c>
      <c r="F163" s="4">
        <v>0.75863425925925931</v>
      </c>
      <c r="G163" s="3">
        <v>6</v>
      </c>
      <c r="H163" s="23" t="s">
        <v>195</v>
      </c>
      <c r="I163" s="34">
        <v>486710</v>
      </c>
      <c r="J163" s="5">
        <v>0</v>
      </c>
      <c r="K163" s="3">
        <v>79601566</v>
      </c>
      <c r="L163" s="3" t="s">
        <v>196</v>
      </c>
      <c r="M163" s="3" t="s">
        <v>197</v>
      </c>
      <c r="N163" s="3">
        <v>2223</v>
      </c>
      <c r="O163" s="2">
        <v>46120</v>
      </c>
      <c r="P163" s="3" t="s">
        <v>30</v>
      </c>
      <c r="Q163" s="5">
        <v>44500149.380000003</v>
      </c>
    </row>
    <row r="164" spans="1:17" x14ac:dyDescent="0.35">
      <c r="A164" s="27">
        <v>46120</v>
      </c>
      <c r="B164" s="3">
        <v>731300</v>
      </c>
      <c r="C164" s="23" t="s">
        <v>34</v>
      </c>
      <c r="D164" s="3" t="s">
        <v>186</v>
      </c>
      <c r="E164" s="3" t="s">
        <v>20</v>
      </c>
      <c r="F164" s="4">
        <v>0.62520833333333337</v>
      </c>
      <c r="G164" s="3">
        <v>0</v>
      </c>
      <c r="H164" s="23" t="s">
        <v>36</v>
      </c>
      <c r="I164" s="34">
        <v>351300</v>
      </c>
      <c r="J164" s="5">
        <v>0</v>
      </c>
      <c r="K164" s="3"/>
      <c r="L164" s="3" t="s">
        <v>187</v>
      </c>
      <c r="M164" s="3" t="s">
        <v>245</v>
      </c>
      <c r="N164" s="3">
        <v>11279</v>
      </c>
      <c r="O164" s="2">
        <v>46120</v>
      </c>
      <c r="P164" s="3" t="s">
        <v>30</v>
      </c>
      <c r="Q164" s="5">
        <v>44148849.380000003</v>
      </c>
    </row>
    <row r="165" spans="1:17" x14ac:dyDescent="0.35">
      <c r="A165" s="27">
        <v>46120</v>
      </c>
      <c r="B165" s="3">
        <v>408333</v>
      </c>
      <c r="C165" s="23" t="s">
        <v>34</v>
      </c>
      <c r="D165" s="3" t="s">
        <v>83</v>
      </c>
      <c r="E165" s="3" t="s">
        <v>20</v>
      </c>
      <c r="F165" s="4">
        <v>0.61988425925925927</v>
      </c>
      <c r="G165" s="3">
        <v>0</v>
      </c>
      <c r="H165" s="23" t="s">
        <v>36</v>
      </c>
      <c r="I165" s="34">
        <v>6373135.5</v>
      </c>
      <c r="J165" s="5">
        <v>0</v>
      </c>
      <c r="K165" s="3"/>
      <c r="L165" s="3" t="s">
        <v>37</v>
      </c>
      <c r="M165" s="3" t="s">
        <v>38</v>
      </c>
      <c r="N165" s="3">
        <v>17120</v>
      </c>
      <c r="O165" s="2">
        <v>46120</v>
      </c>
      <c r="P165" s="3" t="s">
        <v>39</v>
      </c>
      <c r="Q165" s="5">
        <v>37775713.880000003</v>
      </c>
    </row>
    <row r="166" spans="1:17" x14ac:dyDescent="0.35">
      <c r="A166" s="27">
        <v>46120</v>
      </c>
      <c r="B166" s="3">
        <v>391750</v>
      </c>
      <c r="C166" s="23" t="s">
        <v>34</v>
      </c>
      <c r="D166" s="3" t="s">
        <v>131</v>
      </c>
      <c r="E166" s="3" t="s">
        <v>20</v>
      </c>
      <c r="F166" s="4">
        <v>0.60575231481481484</v>
      </c>
      <c r="G166" s="3">
        <v>0</v>
      </c>
      <c r="H166" s="23" t="s">
        <v>36</v>
      </c>
      <c r="I166" s="34">
        <v>2604405</v>
      </c>
      <c r="J166" s="5">
        <v>0</v>
      </c>
      <c r="K166" s="3"/>
      <c r="L166" s="3" t="s">
        <v>147</v>
      </c>
      <c r="M166" s="3" t="s">
        <v>148</v>
      </c>
      <c r="N166" s="3">
        <v>17483</v>
      </c>
      <c r="O166" s="2">
        <v>46120</v>
      </c>
      <c r="P166" s="3" t="s">
        <v>134</v>
      </c>
      <c r="Q166" s="5">
        <v>35171308.880000003</v>
      </c>
    </row>
    <row r="167" spans="1:17" x14ac:dyDescent="0.35">
      <c r="A167" s="27">
        <v>46120</v>
      </c>
      <c r="B167" s="3">
        <v>440834</v>
      </c>
      <c r="C167" s="23" t="s">
        <v>34</v>
      </c>
      <c r="D167" s="3" t="s">
        <v>55</v>
      </c>
      <c r="E167" s="3" t="s">
        <v>20</v>
      </c>
      <c r="F167" s="4">
        <v>0.59315972222222224</v>
      </c>
      <c r="G167" s="3">
        <v>0</v>
      </c>
      <c r="H167" s="23" t="s">
        <v>36</v>
      </c>
      <c r="I167" s="34">
        <v>255177</v>
      </c>
      <c r="J167" s="5">
        <v>0</v>
      </c>
      <c r="K167" s="3"/>
      <c r="L167" s="3" t="s">
        <v>56</v>
      </c>
      <c r="M167" s="3" t="s">
        <v>246</v>
      </c>
      <c r="N167" s="3">
        <v>16289</v>
      </c>
      <c r="O167" s="2">
        <v>46120</v>
      </c>
      <c r="P167" s="3" t="s">
        <v>58</v>
      </c>
      <c r="Q167" s="5">
        <v>34916131.880000003</v>
      </c>
    </row>
    <row r="168" spans="1:17" x14ac:dyDescent="0.35">
      <c r="A168" s="27">
        <v>46120</v>
      </c>
      <c r="B168" s="3">
        <v>639331</v>
      </c>
      <c r="C168" s="23" t="s">
        <v>34</v>
      </c>
      <c r="D168" s="3" t="s">
        <v>55</v>
      </c>
      <c r="E168" s="3" t="s">
        <v>20</v>
      </c>
      <c r="F168" s="4">
        <v>0.59277777777777774</v>
      </c>
      <c r="G168" s="3">
        <v>0</v>
      </c>
      <c r="H168" s="23" t="s">
        <v>36</v>
      </c>
      <c r="I168" s="34">
        <v>1159587</v>
      </c>
      <c r="J168" s="5">
        <v>0</v>
      </c>
      <c r="K168" s="3"/>
      <c r="L168" s="3" t="s">
        <v>56</v>
      </c>
      <c r="M168" s="3" t="s">
        <v>246</v>
      </c>
      <c r="N168" s="3">
        <v>16289</v>
      </c>
      <c r="O168" s="2">
        <v>46120</v>
      </c>
      <c r="P168" s="3" t="s">
        <v>58</v>
      </c>
      <c r="Q168" s="5">
        <v>33756544.880000003</v>
      </c>
    </row>
    <row r="169" spans="1:17" x14ac:dyDescent="0.35">
      <c r="A169" s="27">
        <v>46120</v>
      </c>
      <c r="B169" s="3">
        <v>917113</v>
      </c>
      <c r="C169" s="23" t="s">
        <v>34</v>
      </c>
      <c r="D169" s="3" t="s">
        <v>55</v>
      </c>
      <c r="E169" s="3" t="s">
        <v>20</v>
      </c>
      <c r="F169" s="4">
        <v>0.59240740740740738</v>
      </c>
      <c r="G169" s="3">
        <v>0</v>
      </c>
      <c r="H169" s="23" t="s">
        <v>36</v>
      </c>
      <c r="I169" s="34">
        <v>429292</v>
      </c>
      <c r="J169" s="5">
        <v>0</v>
      </c>
      <c r="K169" s="3"/>
      <c r="L169" s="3" t="s">
        <v>56</v>
      </c>
      <c r="M169" s="3" t="s">
        <v>246</v>
      </c>
      <c r="N169" s="3">
        <v>16289</v>
      </c>
      <c r="O169" s="2">
        <v>46120</v>
      </c>
      <c r="P169" s="3" t="s">
        <v>58</v>
      </c>
      <c r="Q169" s="5">
        <v>33327252.879999999</v>
      </c>
    </row>
    <row r="170" spans="1:17" x14ac:dyDescent="0.35">
      <c r="A170" s="27">
        <v>46120</v>
      </c>
      <c r="B170" s="3">
        <v>626438</v>
      </c>
      <c r="C170" s="23" t="s">
        <v>18</v>
      </c>
      <c r="D170" s="3" t="s">
        <v>31</v>
      </c>
      <c r="E170" s="3" t="s">
        <v>20</v>
      </c>
      <c r="F170" s="4">
        <v>0.58606481481481476</v>
      </c>
      <c r="G170" s="3">
        <v>80</v>
      </c>
      <c r="H170" s="23" t="s">
        <v>179</v>
      </c>
      <c r="I170" s="34">
        <v>43974245.32</v>
      </c>
      <c r="J170" s="5">
        <v>0</v>
      </c>
      <c r="K170" s="3"/>
      <c r="L170" s="3" t="s">
        <v>29</v>
      </c>
      <c r="M170" s="3" t="s">
        <v>29</v>
      </c>
      <c r="N170" s="3">
        <v>33</v>
      </c>
      <c r="O170" s="2">
        <v>46120</v>
      </c>
      <c r="P170" s="3" t="s">
        <v>30</v>
      </c>
      <c r="Q170" s="5">
        <v>77477395.180000007</v>
      </c>
    </row>
    <row r="171" spans="1:17" x14ac:dyDescent="0.35">
      <c r="A171" s="27">
        <v>46120</v>
      </c>
      <c r="B171" s="3">
        <v>626437</v>
      </c>
      <c r="C171" s="23" t="s">
        <v>18</v>
      </c>
      <c r="D171" s="3" t="s">
        <v>31</v>
      </c>
      <c r="E171" s="3" t="s">
        <v>20</v>
      </c>
      <c r="F171" s="4">
        <v>0.58606481481481476</v>
      </c>
      <c r="G171" s="3">
        <v>177</v>
      </c>
      <c r="H171" s="23" t="s">
        <v>44</v>
      </c>
      <c r="I171" s="34">
        <v>11061</v>
      </c>
      <c r="J171" s="5">
        <v>0</v>
      </c>
      <c r="K171" s="3"/>
      <c r="L171" s="3" t="s">
        <v>247</v>
      </c>
      <c r="M171" s="3" t="s">
        <v>247</v>
      </c>
      <c r="N171" s="3">
        <v>25</v>
      </c>
      <c r="O171" s="2">
        <v>46120</v>
      </c>
      <c r="P171" s="3" t="s">
        <v>30</v>
      </c>
      <c r="Q171" s="5">
        <v>77490609.819999993</v>
      </c>
    </row>
    <row r="172" spans="1:17" x14ac:dyDescent="0.35">
      <c r="A172" s="27">
        <v>46120</v>
      </c>
      <c r="B172" s="3">
        <v>790942</v>
      </c>
      <c r="C172" s="23" t="s">
        <v>34</v>
      </c>
      <c r="D172" s="3" t="s">
        <v>248</v>
      </c>
      <c r="E172" s="3" t="s">
        <v>20</v>
      </c>
      <c r="F172" s="4">
        <v>0.54440972222222217</v>
      </c>
      <c r="G172" s="3">
        <v>0</v>
      </c>
      <c r="H172" s="23" t="s">
        <v>36</v>
      </c>
      <c r="I172" s="34">
        <v>188377</v>
      </c>
      <c r="J172" s="5">
        <v>0</v>
      </c>
      <c r="K172" s="3"/>
      <c r="L172" s="3" t="s">
        <v>249</v>
      </c>
      <c r="M172" s="3" t="s">
        <v>250</v>
      </c>
      <c r="N172" s="3">
        <v>12322</v>
      </c>
      <c r="O172" s="2">
        <v>46120</v>
      </c>
      <c r="P172" s="3" t="s">
        <v>30</v>
      </c>
      <c r="Q172" s="5">
        <v>77302232.819999993</v>
      </c>
    </row>
    <row r="173" spans="1:17" x14ac:dyDescent="0.35">
      <c r="A173" s="27">
        <v>46120</v>
      </c>
      <c r="B173" s="3">
        <v>12484531</v>
      </c>
      <c r="C173" s="23" t="s">
        <v>25</v>
      </c>
      <c r="D173" s="3" t="s">
        <v>59</v>
      </c>
      <c r="E173" s="3" t="s">
        <v>20</v>
      </c>
      <c r="F173" s="4">
        <v>0.53385416666666663</v>
      </c>
      <c r="G173" s="3">
        <v>6</v>
      </c>
      <c r="H173" s="23" t="s">
        <v>60</v>
      </c>
      <c r="I173" s="34">
        <v>2088730</v>
      </c>
      <c r="J173" s="5">
        <v>0</v>
      </c>
      <c r="K173" s="3">
        <v>79602750</v>
      </c>
      <c r="L173" s="3" t="s">
        <v>61</v>
      </c>
      <c r="M173" s="3" t="s">
        <v>62</v>
      </c>
      <c r="N173" s="3">
        <v>2257</v>
      </c>
      <c r="O173" s="2">
        <v>46120</v>
      </c>
      <c r="P173" s="3" t="s">
        <v>30</v>
      </c>
      <c r="Q173" s="5">
        <v>75213502.819999993</v>
      </c>
    </row>
    <row r="174" spans="1:17" ht="29" x14ac:dyDescent="0.35">
      <c r="A174" s="27">
        <v>46120</v>
      </c>
      <c r="B174" s="3">
        <v>343299</v>
      </c>
      <c r="C174" s="23" t="s">
        <v>25</v>
      </c>
      <c r="D174" s="3" t="s">
        <v>49</v>
      </c>
      <c r="E174" s="3" t="s">
        <v>20</v>
      </c>
      <c r="F174" s="4">
        <v>0.52303240740740742</v>
      </c>
      <c r="G174" s="3">
        <v>80</v>
      </c>
      <c r="H174" s="23" t="s">
        <v>251</v>
      </c>
      <c r="I174" s="34">
        <v>4000000</v>
      </c>
      <c r="J174" s="5">
        <v>0</v>
      </c>
      <c r="K174" s="3">
        <v>8000942681</v>
      </c>
      <c r="L174" s="3" t="s">
        <v>252</v>
      </c>
      <c r="M174" s="3" t="s">
        <v>253</v>
      </c>
      <c r="N174" s="3">
        <v>4512</v>
      </c>
      <c r="O174" s="2">
        <v>46120</v>
      </c>
      <c r="P174" s="3" t="s">
        <v>30</v>
      </c>
      <c r="Q174" s="5">
        <v>71213502.819999993</v>
      </c>
    </row>
    <row r="175" spans="1:17" x14ac:dyDescent="0.35">
      <c r="A175" s="27">
        <v>46120</v>
      </c>
      <c r="B175" s="3">
        <v>417600</v>
      </c>
      <c r="C175" s="23" t="s">
        <v>34</v>
      </c>
      <c r="D175" s="3" t="s">
        <v>215</v>
      </c>
      <c r="E175" s="3" t="s">
        <v>20</v>
      </c>
      <c r="F175" s="4">
        <v>0.48234953703703703</v>
      </c>
      <c r="G175" s="3">
        <v>0</v>
      </c>
      <c r="H175" s="23" t="s">
        <v>36</v>
      </c>
      <c r="I175" s="34">
        <v>824194</v>
      </c>
      <c r="J175" s="5">
        <v>0</v>
      </c>
      <c r="K175" s="3"/>
      <c r="L175" s="3" t="s">
        <v>254</v>
      </c>
      <c r="M175" s="3" t="s">
        <v>255</v>
      </c>
      <c r="N175" s="3">
        <v>17041</v>
      </c>
      <c r="O175" s="2">
        <v>46120</v>
      </c>
      <c r="P175" s="3" t="s">
        <v>218</v>
      </c>
      <c r="Q175" s="5">
        <v>70389308.819999993</v>
      </c>
    </row>
    <row r="176" spans="1:17" ht="29" x14ac:dyDescent="0.35">
      <c r="A176" s="27">
        <v>46120</v>
      </c>
      <c r="B176" s="3">
        <v>9180128</v>
      </c>
      <c r="C176" s="23" t="s">
        <v>25</v>
      </c>
      <c r="D176" s="3" t="s">
        <v>59</v>
      </c>
      <c r="E176" s="3" t="s">
        <v>20</v>
      </c>
      <c r="F176" s="4">
        <v>0.38751157407407405</v>
      </c>
      <c r="G176" s="3">
        <v>6</v>
      </c>
      <c r="H176" s="23" t="s">
        <v>111</v>
      </c>
      <c r="I176" s="34">
        <v>211820</v>
      </c>
      <c r="J176" s="5">
        <v>0</v>
      </c>
      <c r="K176" s="3">
        <v>52647079</v>
      </c>
      <c r="L176" s="3" t="s">
        <v>112</v>
      </c>
      <c r="M176" s="3" t="s">
        <v>113</v>
      </c>
      <c r="N176" s="3">
        <v>2276</v>
      </c>
      <c r="O176" s="2">
        <v>46120</v>
      </c>
      <c r="P176" s="3" t="s">
        <v>30</v>
      </c>
      <c r="Q176" s="5">
        <v>70177488.819999993</v>
      </c>
    </row>
    <row r="177" spans="1:17" x14ac:dyDescent="0.35">
      <c r="A177" s="27">
        <v>46119</v>
      </c>
      <c r="B177" s="3">
        <v>99999999</v>
      </c>
      <c r="C177" s="23" t="s">
        <v>18</v>
      </c>
      <c r="D177" s="3" t="s">
        <v>19</v>
      </c>
      <c r="E177" s="3" t="s">
        <v>20</v>
      </c>
      <c r="F177" s="4">
        <v>0.99998842592592596</v>
      </c>
      <c r="G177" s="3">
        <v>41</v>
      </c>
      <c r="H177" s="23" t="s">
        <v>21</v>
      </c>
      <c r="I177" s="34">
        <v>25287.29</v>
      </c>
      <c r="J177" s="5">
        <v>0</v>
      </c>
      <c r="K177" s="3"/>
      <c r="L177" s="3" t="s">
        <v>22</v>
      </c>
      <c r="M177" s="3" t="s">
        <v>22</v>
      </c>
      <c r="N177" s="3">
        <v>0</v>
      </c>
      <c r="O177" s="2">
        <v>46119</v>
      </c>
      <c r="P177" s="3" t="s">
        <v>23</v>
      </c>
      <c r="Q177" s="5">
        <v>0</v>
      </c>
    </row>
    <row r="178" spans="1:17" x14ac:dyDescent="0.35">
      <c r="A178" s="27">
        <v>46119</v>
      </c>
      <c r="B178" s="3">
        <v>954900</v>
      </c>
      <c r="C178" s="23" t="s">
        <v>25</v>
      </c>
      <c r="D178" s="3" t="s">
        <v>26</v>
      </c>
      <c r="E178" s="3" t="s">
        <v>20</v>
      </c>
      <c r="F178" s="4">
        <v>0.81168981481481484</v>
      </c>
      <c r="G178" s="3">
        <v>300</v>
      </c>
      <c r="H178" s="23" t="s">
        <v>27</v>
      </c>
      <c r="I178" s="34">
        <v>603195</v>
      </c>
      <c r="J178" s="5">
        <v>0</v>
      </c>
      <c r="K178" s="3"/>
      <c r="L178" s="3" t="s">
        <v>256</v>
      </c>
      <c r="M178" s="3" t="s">
        <v>29</v>
      </c>
      <c r="N178" s="3">
        <v>1387</v>
      </c>
      <c r="O178" s="2">
        <v>46119</v>
      </c>
      <c r="P178" s="3" t="s">
        <v>30</v>
      </c>
      <c r="Q178" s="5">
        <v>69574293.819999993</v>
      </c>
    </row>
    <row r="179" spans="1:17" x14ac:dyDescent="0.35">
      <c r="A179" s="27">
        <v>46119</v>
      </c>
      <c r="B179" s="3">
        <v>190111</v>
      </c>
      <c r="C179" s="23" t="s">
        <v>18</v>
      </c>
      <c r="D179" s="3" t="s">
        <v>72</v>
      </c>
      <c r="E179" s="3" t="s">
        <v>20</v>
      </c>
      <c r="F179" s="4">
        <v>0.79238425925925926</v>
      </c>
      <c r="G179" s="3">
        <v>61</v>
      </c>
      <c r="H179" s="23" t="s">
        <v>257</v>
      </c>
      <c r="I179" s="34">
        <v>6321823</v>
      </c>
      <c r="J179" s="5">
        <v>0</v>
      </c>
      <c r="K179" s="3"/>
      <c r="L179" s="3" t="s">
        <v>258</v>
      </c>
      <c r="M179" s="3" t="s">
        <v>94</v>
      </c>
      <c r="N179" s="3">
        <v>573</v>
      </c>
      <c r="O179" s="2">
        <v>46119</v>
      </c>
      <c r="P179" s="3" t="s">
        <v>30</v>
      </c>
      <c r="Q179" s="5">
        <v>75921404.109999999</v>
      </c>
    </row>
    <row r="180" spans="1:17" x14ac:dyDescent="0.35">
      <c r="A180" s="27">
        <v>46119</v>
      </c>
      <c r="B180" s="3">
        <v>276530</v>
      </c>
      <c r="C180" s="23" t="s">
        <v>34</v>
      </c>
      <c r="D180" s="3" t="s">
        <v>259</v>
      </c>
      <c r="E180" s="3" t="s">
        <v>20</v>
      </c>
      <c r="F180" s="4">
        <v>0.56519675925925927</v>
      </c>
      <c r="G180" s="3">
        <v>0</v>
      </c>
      <c r="H180" s="23" t="s">
        <v>36</v>
      </c>
      <c r="I180" s="34">
        <v>3000000</v>
      </c>
      <c r="J180" s="5">
        <v>0</v>
      </c>
      <c r="K180" s="3"/>
      <c r="L180" s="3" t="s">
        <v>260</v>
      </c>
      <c r="M180" s="3" t="s">
        <v>261</v>
      </c>
      <c r="N180" s="3">
        <v>15699</v>
      </c>
      <c r="O180" s="2">
        <v>46119</v>
      </c>
      <c r="P180" s="3" t="s">
        <v>259</v>
      </c>
      <c r="Q180" s="5">
        <v>72921404.109999999</v>
      </c>
    </row>
    <row r="181" spans="1:17" x14ac:dyDescent="0.35">
      <c r="A181" s="27">
        <v>46119</v>
      </c>
      <c r="B181" s="3">
        <v>564064</v>
      </c>
      <c r="C181" s="23" t="s">
        <v>34</v>
      </c>
      <c r="D181" s="3" t="s">
        <v>83</v>
      </c>
      <c r="E181" s="3" t="s">
        <v>20</v>
      </c>
      <c r="F181" s="4">
        <v>0.50079861111111112</v>
      </c>
      <c r="G181" s="3">
        <v>0</v>
      </c>
      <c r="H181" s="23" t="s">
        <v>36</v>
      </c>
      <c r="I181" s="34">
        <v>2391126.5</v>
      </c>
      <c r="J181" s="5">
        <v>0</v>
      </c>
      <c r="K181" s="3"/>
      <c r="L181" s="3" t="s">
        <v>37</v>
      </c>
      <c r="M181" s="3" t="s">
        <v>38</v>
      </c>
      <c r="N181" s="3">
        <v>17119</v>
      </c>
      <c r="O181" s="2">
        <v>46119</v>
      </c>
      <c r="P181" s="3" t="s">
        <v>39</v>
      </c>
      <c r="Q181" s="5">
        <v>70530277.609999999</v>
      </c>
    </row>
    <row r="182" spans="1:17" x14ac:dyDescent="0.35">
      <c r="A182" s="27">
        <v>46118</v>
      </c>
      <c r="B182" s="3">
        <v>99999999</v>
      </c>
      <c r="C182" s="23" t="s">
        <v>18</v>
      </c>
      <c r="D182" s="3" t="s">
        <v>19</v>
      </c>
      <c r="E182" s="3" t="s">
        <v>20</v>
      </c>
      <c r="F182" s="4">
        <v>0.99998842592592596</v>
      </c>
      <c r="G182" s="3">
        <v>41</v>
      </c>
      <c r="H182" s="23" t="s">
        <v>21</v>
      </c>
      <c r="I182" s="34">
        <v>517729</v>
      </c>
      <c r="J182" s="5">
        <v>0</v>
      </c>
      <c r="K182" s="3"/>
      <c r="L182" s="3" t="s">
        <v>22</v>
      </c>
      <c r="M182" s="3" t="s">
        <v>22</v>
      </c>
      <c r="N182" s="3">
        <v>0</v>
      </c>
      <c r="O182" s="2">
        <v>46118</v>
      </c>
      <c r="P182" s="3" t="s">
        <v>23</v>
      </c>
      <c r="Q182" s="5">
        <v>0</v>
      </c>
    </row>
    <row r="183" spans="1:17" x14ac:dyDescent="0.35">
      <c r="A183" s="27">
        <v>46118</v>
      </c>
      <c r="B183" s="3">
        <v>99999998</v>
      </c>
      <c r="C183" s="23" t="s">
        <v>18</v>
      </c>
      <c r="D183" s="3" t="s">
        <v>19</v>
      </c>
      <c r="E183" s="3" t="s">
        <v>20</v>
      </c>
      <c r="F183" s="4">
        <v>0.99998842592592596</v>
      </c>
      <c r="G183" s="3">
        <v>40</v>
      </c>
      <c r="H183" s="23" t="s">
        <v>24</v>
      </c>
      <c r="I183" s="34">
        <v>22052</v>
      </c>
      <c r="J183" s="5">
        <v>0</v>
      </c>
      <c r="K183" s="3"/>
      <c r="L183" s="3" t="s">
        <v>22</v>
      </c>
      <c r="M183" s="3" t="s">
        <v>22</v>
      </c>
      <c r="N183" s="3">
        <v>0</v>
      </c>
      <c r="O183" s="2">
        <v>46118</v>
      </c>
      <c r="P183" s="3" t="s">
        <v>23</v>
      </c>
      <c r="Q183" s="5">
        <v>0</v>
      </c>
    </row>
    <row r="184" spans="1:17" x14ac:dyDescent="0.35">
      <c r="A184" s="27">
        <v>46118</v>
      </c>
      <c r="B184" s="3">
        <v>266338</v>
      </c>
      <c r="C184" s="23" t="s">
        <v>18</v>
      </c>
      <c r="D184" s="3" t="s">
        <v>72</v>
      </c>
      <c r="E184" s="3" t="s">
        <v>20</v>
      </c>
      <c r="F184" s="4">
        <v>0.84880787037037042</v>
      </c>
      <c r="G184" s="3">
        <v>61</v>
      </c>
      <c r="H184" s="23" t="s">
        <v>262</v>
      </c>
      <c r="I184" s="34">
        <v>82500000</v>
      </c>
      <c r="J184" s="5">
        <v>0</v>
      </c>
      <c r="K184" s="3"/>
      <c r="L184" s="3" t="s">
        <v>263</v>
      </c>
      <c r="M184" s="3" t="s">
        <v>94</v>
      </c>
      <c r="N184" s="3">
        <v>571</v>
      </c>
      <c r="O184" s="2">
        <v>46118</v>
      </c>
      <c r="P184" s="3" t="s">
        <v>30</v>
      </c>
      <c r="Q184" s="5">
        <v>153360277.61000001</v>
      </c>
    </row>
    <row r="185" spans="1:17" x14ac:dyDescent="0.35">
      <c r="A185" s="27">
        <v>46118</v>
      </c>
      <c r="B185" s="3">
        <v>564000</v>
      </c>
      <c r="C185" s="23" t="s">
        <v>34</v>
      </c>
      <c r="D185" s="3" t="s">
        <v>149</v>
      </c>
      <c r="E185" s="3" t="s">
        <v>20</v>
      </c>
      <c r="F185" s="4">
        <v>0.67708333333333337</v>
      </c>
      <c r="G185" s="3">
        <v>0</v>
      </c>
      <c r="H185" s="23" t="s">
        <v>36</v>
      </c>
      <c r="I185" s="34">
        <v>1197955.99</v>
      </c>
      <c r="J185" s="5">
        <v>0</v>
      </c>
      <c r="K185" s="3"/>
      <c r="L185" s="3" t="s">
        <v>264</v>
      </c>
      <c r="M185" s="3" t="s">
        <v>151</v>
      </c>
      <c r="N185" s="3">
        <v>13960</v>
      </c>
      <c r="O185" s="2">
        <v>46118</v>
      </c>
      <c r="P185" s="3" t="s">
        <v>149</v>
      </c>
      <c r="Q185" s="5">
        <v>152162321.62</v>
      </c>
    </row>
    <row r="186" spans="1:17" x14ac:dyDescent="0.35">
      <c r="A186" s="27">
        <v>46118</v>
      </c>
      <c r="B186" s="3">
        <v>946200</v>
      </c>
      <c r="C186" s="23" t="s">
        <v>25</v>
      </c>
      <c r="D186" s="3" t="s">
        <v>26</v>
      </c>
      <c r="E186" s="3" t="s">
        <v>20</v>
      </c>
      <c r="F186" s="4">
        <v>0.66811342592592593</v>
      </c>
      <c r="G186" s="3">
        <v>300</v>
      </c>
      <c r="H186" s="23" t="s">
        <v>27</v>
      </c>
      <c r="I186" s="34">
        <v>300000</v>
      </c>
      <c r="J186" s="5">
        <v>0</v>
      </c>
      <c r="K186" s="3"/>
      <c r="L186" s="3" t="s">
        <v>265</v>
      </c>
      <c r="M186" s="3" t="s">
        <v>29</v>
      </c>
      <c r="N186" s="3">
        <v>1387</v>
      </c>
      <c r="O186" s="2">
        <v>46118</v>
      </c>
      <c r="P186" s="3" t="s">
        <v>30</v>
      </c>
      <c r="Q186" s="5">
        <v>151862321.62</v>
      </c>
    </row>
    <row r="187" spans="1:17" x14ac:dyDescent="0.35">
      <c r="A187" s="27">
        <v>46118</v>
      </c>
      <c r="B187" s="3">
        <v>890695</v>
      </c>
      <c r="C187" s="23" t="s">
        <v>25</v>
      </c>
      <c r="D187" s="3" t="s">
        <v>266</v>
      </c>
      <c r="E187" s="3" t="s">
        <v>20</v>
      </c>
      <c r="F187" s="4">
        <v>0.65662037037037035</v>
      </c>
      <c r="G187" s="3">
        <v>6</v>
      </c>
      <c r="H187" s="23" t="s">
        <v>267</v>
      </c>
      <c r="I187" s="34">
        <v>8013915</v>
      </c>
      <c r="J187" s="5">
        <v>0</v>
      </c>
      <c r="K187" s="3"/>
      <c r="L187" s="3" t="s">
        <v>268</v>
      </c>
      <c r="M187" s="3" t="s">
        <v>269</v>
      </c>
      <c r="N187" s="3">
        <v>15362</v>
      </c>
      <c r="O187" s="2">
        <v>46118</v>
      </c>
      <c r="P187" s="3" t="s">
        <v>30</v>
      </c>
      <c r="Q187" s="5">
        <v>143848406.62</v>
      </c>
    </row>
    <row r="188" spans="1:17" x14ac:dyDescent="0.35">
      <c r="A188" s="27">
        <v>46118</v>
      </c>
      <c r="B188" s="3">
        <v>5302630</v>
      </c>
      <c r="C188" s="23" t="s">
        <v>18</v>
      </c>
      <c r="D188" s="3" t="s">
        <v>31</v>
      </c>
      <c r="E188" s="3" t="s">
        <v>20</v>
      </c>
      <c r="F188" s="4">
        <v>0.61809027777777781</v>
      </c>
      <c r="G188" s="3">
        <v>349</v>
      </c>
      <c r="H188" s="23" t="s">
        <v>79</v>
      </c>
      <c r="I188" s="34">
        <v>19000000</v>
      </c>
      <c r="J188" s="5">
        <v>0</v>
      </c>
      <c r="K188" s="3"/>
      <c r="L188" s="3" t="s">
        <v>270</v>
      </c>
      <c r="M188" s="3" t="s">
        <v>29</v>
      </c>
      <c r="N188" s="3">
        <v>47</v>
      </c>
      <c r="O188" s="2">
        <v>46118</v>
      </c>
      <c r="P188" s="3" t="s">
        <v>30</v>
      </c>
      <c r="Q188" s="5">
        <v>162924406.62</v>
      </c>
    </row>
    <row r="189" spans="1:17" x14ac:dyDescent="0.35">
      <c r="A189" s="27">
        <v>46118</v>
      </c>
      <c r="B189" s="3">
        <v>302629</v>
      </c>
      <c r="C189" s="23" t="s">
        <v>18</v>
      </c>
      <c r="D189" s="3" t="s">
        <v>31</v>
      </c>
      <c r="E189" s="3" t="s">
        <v>20</v>
      </c>
      <c r="F189" s="4">
        <v>0.61807870370370366</v>
      </c>
      <c r="G189" s="3">
        <v>80</v>
      </c>
      <c r="H189" s="23" t="s">
        <v>179</v>
      </c>
      <c r="I189" s="34">
        <v>2868723</v>
      </c>
      <c r="J189" s="5">
        <v>0</v>
      </c>
      <c r="K189" s="3"/>
      <c r="L189" s="3" t="s">
        <v>29</v>
      </c>
      <c r="M189" s="3" t="s">
        <v>29</v>
      </c>
      <c r="N189" s="3">
        <v>31</v>
      </c>
      <c r="O189" s="2">
        <v>46118</v>
      </c>
      <c r="P189" s="3" t="s">
        <v>30</v>
      </c>
      <c r="Q189" s="5">
        <v>165804604.50999999</v>
      </c>
    </row>
    <row r="190" spans="1:17" x14ac:dyDescent="0.35">
      <c r="A190" s="27">
        <v>46118</v>
      </c>
      <c r="B190" s="3">
        <v>302628</v>
      </c>
      <c r="C190" s="23" t="s">
        <v>18</v>
      </c>
      <c r="D190" s="3" t="s">
        <v>31</v>
      </c>
      <c r="E190" s="3" t="s">
        <v>20</v>
      </c>
      <c r="F190" s="4">
        <v>0.61807870370370366</v>
      </c>
      <c r="G190" s="3">
        <v>177</v>
      </c>
      <c r="H190" s="23" t="s">
        <v>44</v>
      </c>
      <c r="I190" s="34">
        <v>5530</v>
      </c>
      <c r="J190" s="5">
        <v>0</v>
      </c>
      <c r="K190" s="3"/>
      <c r="L190" s="3" t="s">
        <v>270</v>
      </c>
      <c r="M190" s="3" t="s">
        <v>270</v>
      </c>
      <c r="N190" s="3">
        <v>9</v>
      </c>
      <c r="O190" s="2">
        <v>46118</v>
      </c>
      <c r="P190" s="3" t="s">
        <v>30</v>
      </c>
      <c r="Q190" s="5">
        <v>190836331.00999999</v>
      </c>
    </row>
    <row r="191" spans="1:17" x14ac:dyDescent="0.35">
      <c r="A191" s="27">
        <v>46118</v>
      </c>
      <c r="B191" s="3">
        <v>302627</v>
      </c>
      <c r="C191" s="23" t="s">
        <v>18</v>
      </c>
      <c r="D191" s="3" t="s">
        <v>31</v>
      </c>
      <c r="E191" s="3" t="s">
        <v>20</v>
      </c>
      <c r="F191" s="4">
        <v>0.61807870370370366</v>
      </c>
      <c r="G191" s="3">
        <v>351</v>
      </c>
      <c r="H191" s="23" t="s">
        <v>81</v>
      </c>
      <c r="I191" s="34">
        <v>105000</v>
      </c>
      <c r="J191" s="5">
        <v>0</v>
      </c>
      <c r="K191" s="3"/>
      <c r="L191" s="3" t="s">
        <v>270</v>
      </c>
      <c r="M191" s="3" t="s">
        <v>270</v>
      </c>
      <c r="N191" s="3">
        <v>30</v>
      </c>
      <c r="O191" s="2">
        <v>46118</v>
      </c>
      <c r="P191" s="3" t="s">
        <v>30</v>
      </c>
      <c r="Q191" s="5">
        <v>190968388.13</v>
      </c>
    </row>
    <row r="192" spans="1:17" x14ac:dyDescent="0.35">
      <c r="A192" s="27">
        <v>46118</v>
      </c>
      <c r="B192" s="3">
        <v>302609</v>
      </c>
      <c r="C192" s="23" t="s">
        <v>18</v>
      </c>
      <c r="D192" s="3" t="s">
        <v>31</v>
      </c>
      <c r="E192" s="3" t="s">
        <v>20</v>
      </c>
      <c r="F192" s="4">
        <v>0.61807870370370366</v>
      </c>
      <c r="G192" s="3">
        <v>177</v>
      </c>
      <c r="H192" s="23" t="s">
        <v>44</v>
      </c>
      <c r="I192" s="34">
        <v>5530</v>
      </c>
      <c r="J192" s="5">
        <v>0</v>
      </c>
      <c r="K192" s="3"/>
      <c r="L192" s="3" t="s">
        <v>271</v>
      </c>
      <c r="M192" s="3" t="s">
        <v>271</v>
      </c>
      <c r="N192" s="3">
        <v>32</v>
      </c>
      <c r="O192" s="2">
        <v>46118</v>
      </c>
      <c r="P192" s="3" t="s">
        <v>30</v>
      </c>
      <c r="Q192" s="5">
        <v>190842938.33000001</v>
      </c>
    </row>
    <row r="193" spans="1:17" x14ac:dyDescent="0.35">
      <c r="A193" s="27">
        <v>46118</v>
      </c>
      <c r="B193" s="3">
        <v>302608</v>
      </c>
      <c r="C193" s="23" t="s">
        <v>18</v>
      </c>
      <c r="D193" s="3" t="s">
        <v>31</v>
      </c>
      <c r="E193" s="3" t="s">
        <v>20</v>
      </c>
      <c r="F193" s="4">
        <v>0.61807870370370366</v>
      </c>
      <c r="G193" s="3">
        <v>80</v>
      </c>
      <c r="H193" s="23" t="s">
        <v>52</v>
      </c>
      <c r="I193" s="34">
        <v>24925417.510000002</v>
      </c>
      <c r="J193" s="5">
        <v>0</v>
      </c>
      <c r="K193" s="3">
        <v>8000875655</v>
      </c>
      <c r="L193" s="3" t="s">
        <v>53</v>
      </c>
      <c r="M193" s="3" t="s">
        <v>48</v>
      </c>
      <c r="N193" s="3">
        <v>80</v>
      </c>
      <c r="O193" s="2">
        <v>46118</v>
      </c>
      <c r="P193" s="3" t="s">
        <v>30</v>
      </c>
      <c r="Q193" s="5">
        <v>190829723.69</v>
      </c>
    </row>
    <row r="194" spans="1:17" x14ac:dyDescent="0.35">
      <c r="A194" s="27">
        <v>46118</v>
      </c>
      <c r="B194" s="3">
        <v>771983</v>
      </c>
      <c r="C194" s="23" t="s">
        <v>25</v>
      </c>
      <c r="D194" s="3" t="s">
        <v>49</v>
      </c>
      <c r="E194" s="3" t="s">
        <v>20</v>
      </c>
      <c r="F194" s="4">
        <v>0.53729166666666661</v>
      </c>
      <c r="G194" s="3">
        <v>6</v>
      </c>
      <c r="H194" s="23" t="s">
        <v>272</v>
      </c>
      <c r="I194" s="34">
        <v>1567280</v>
      </c>
      <c r="J194" s="5">
        <v>0</v>
      </c>
      <c r="K194" s="3">
        <v>7212306</v>
      </c>
      <c r="L194" s="3" t="s">
        <v>273</v>
      </c>
      <c r="M194" s="3" t="s">
        <v>29</v>
      </c>
      <c r="N194" s="3">
        <v>4543</v>
      </c>
      <c r="O194" s="2">
        <v>46118</v>
      </c>
      <c r="P194" s="3" t="s">
        <v>30</v>
      </c>
      <c r="Q194" s="5">
        <v>189401108.13</v>
      </c>
    </row>
    <row r="195" spans="1:17" x14ac:dyDescent="0.35">
      <c r="A195" s="27">
        <v>46118</v>
      </c>
      <c r="B195" s="3">
        <v>708600</v>
      </c>
      <c r="C195" s="23" t="s">
        <v>25</v>
      </c>
      <c r="D195" s="3" t="s">
        <v>26</v>
      </c>
      <c r="E195" s="3" t="s">
        <v>20</v>
      </c>
      <c r="F195" s="4">
        <v>0.33792824074074074</v>
      </c>
      <c r="G195" s="3">
        <v>300</v>
      </c>
      <c r="H195" s="23" t="s">
        <v>27</v>
      </c>
      <c r="I195" s="34">
        <v>700000</v>
      </c>
      <c r="J195" s="5">
        <v>0</v>
      </c>
      <c r="K195" s="3"/>
      <c r="L195" s="3" t="s">
        <v>274</v>
      </c>
      <c r="M195" s="3" t="s">
        <v>29</v>
      </c>
      <c r="N195" s="3">
        <v>1387</v>
      </c>
      <c r="O195" s="2">
        <v>46118</v>
      </c>
      <c r="P195" s="3" t="s">
        <v>30</v>
      </c>
      <c r="Q195" s="5">
        <v>188701108.13</v>
      </c>
    </row>
    <row r="196" spans="1:17" x14ac:dyDescent="0.35">
      <c r="A196" s="27">
        <v>46117</v>
      </c>
      <c r="B196" s="3">
        <v>25000</v>
      </c>
      <c r="C196" s="23" t="s">
        <v>25</v>
      </c>
      <c r="D196" s="3" t="s">
        <v>26</v>
      </c>
      <c r="E196" s="3" t="s">
        <v>20</v>
      </c>
      <c r="F196" s="4">
        <v>0.6620138888888889</v>
      </c>
      <c r="G196" s="3">
        <v>300</v>
      </c>
      <c r="H196" s="23" t="s">
        <v>27</v>
      </c>
      <c r="I196" s="34">
        <v>730000</v>
      </c>
      <c r="J196" s="5">
        <v>0</v>
      </c>
      <c r="K196" s="3"/>
      <c r="L196" s="3" t="s">
        <v>78</v>
      </c>
      <c r="M196" s="3" t="s">
        <v>29</v>
      </c>
      <c r="N196" s="3">
        <v>1387</v>
      </c>
      <c r="O196" s="2">
        <v>46117</v>
      </c>
      <c r="P196" s="3" t="s">
        <v>30</v>
      </c>
      <c r="Q196" s="5">
        <v>187971108.13</v>
      </c>
    </row>
    <row r="197" spans="1:17" x14ac:dyDescent="0.35">
      <c r="A197" s="27">
        <v>46113</v>
      </c>
      <c r="B197" s="3">
        <v>99999999</v>
      </c>
      <c r="C197" s="23" t="s">
        <v>18</v>
      </c>
      <c r="D197" s="3" t="s">
        <v>19</v>
      </c>
      <c r="E197" s="3" t="s">
        <v>20</v>
      </c>
      <c r="F197" s="4">
        <v>0.99998842592592596</v>
      </c>
      <c r="G197" s="3">
        <v>41</v>
      </c>
      <c r="H197" s="23" t="s">
        <v>21</v>
      </c>
      <c r="I197" s="34">
        <v>28409.14</v>
      </c>
      <c r="J197" s="5">
        <v>0</v>
      </c>
      <c r="K197" s="3"/>
      <c r="L197" s="3" t="s">
        <v>22</v>
      </c>
      <c r="M197" s="3" t="s">
        <v>22</v>
      </c>
      <c r="N197" s="3">
        <v>0</v>
      </c>
      <c r="O197" s="2">
        <v>46113</v>
      </c>
      <c r="P197" s="3" t="s">
        <v>23</v>
      </c>
      <c r="Q197" s="5">
        <v>0</v>
      </c>
    </row>
    <row r="198" spans="1:17" x14ac:dyDescent="0.35">
      <c r="A198" s="27">
        <v>46113</v>
      </c>
      <c r="B198" s="3">
        <v>99999998</v>
      </c>
      <c r="C198" s="23" t="s">
        <v>18</v>
      </c>
      <c r="D198" s="3" t="s">
        <v>19</v>
      </c>
      <c r="E198" s="3" t="s">
        <v>20</v>
      </c>
      <c r="F198" s="4">
        <v>0.99998842592592596</v>
      </c>
      <c r="G198" s="3">
        <v>40</v>
      </c>
      <c r="H198" s="23" t="s">
        <v>24</v>
      </c>
      <c r="I198" s="34">
        <v>110447</v>
      </c>
      <c r="J198" s="5">
        <v>0</v>
      </c>
      <c r="K198" s="3"/>
      <c r="L198" s="3" t="s">
        <v>22</v>
      </c>
      <c r="M198" s="3" t="s">
        <v>22</v>
      </c>
      <c r="N198" s="3">
        <v>0</v>
      </c>
      <c r="O198" s="2">
        <v>46113</v>
      </c>
      <c r="P198" s="3" t="s">
        <v>23</v>
      </c>
      <c r="Q198" s="5">
        <v>0</v>
      </c>
    </row>
    <row r="199" spans="1:17" x14ac:dyDescent="0.35">
      <c r="A199" s="27">
        <v>46113</v>
      </c>
      <c r="B199" s="3">
        <v>670401</v>
      </c>
      <c r="C199" s="23" t="s">
        <v>18</v>
      </c>
      <c r="D199" s="3" t="s">
        <v>72</v>
      </c>
      <c r="E199" s="3" t="s">
        <v>20</v>
      </c>
      <c r="F199" s="4">
        <v>0.83612268518518518</v>
      </c>
      <c r="G199" s="3">
        <v>67</v>
      </c>
      <c r="H199" s="23" t="s">
        <v>204</v>
      </c>
      <c r="I199" s="34">
        <v>575770</v>
      </c>
      <c r="J199" s="5">
        <v>0</v>
      </c>
      <c r="K199" s="3"/>
      <c r="L199" s="3" t="s">
        <v>205</v>
      </c>
      <c r="M199" s="3" t="s">
        <v>205</v>
      </c>
      <c r="N199" s="3">
        <v>878</v>
      </c>
      <c r="O199" s="2">
        <v>46113</v>
      </c>
      <c r="P199" s="3" t="s">
        <v>30</v>
      </c>
      <c r="Q199" s="5">
        <v>188659014.78999999</v>
      </c>
    </row>
    <row r="200" spans="1:17" x14ac:dyDescent="0.35">
      <c r="A200" s="27">
        <v>46113</v>
      </c>
      <c r="B200" s="3">
        <v>97116</v>
      </c>
      <c r="C200" s="23" t="s">
        <v>18</v>
      </c>
      <c r="D200" s="3" t="s">
        <v>31</v>
      </c>
      <c r="E200" s="3" t="s">
        <v>20</v>
      </c>
      <c r="F200" s="4">
        <v>0.70887731481481486</v>
      </c>
      <c r="G200" s="3">
        <v>177</v>
      </c>
      <c r="H200" s="23" t="s">
        <v>44</v>
      </c>
      <c r="I200" s="34">
        <v>5530</v>
      </c>
      <c r="J200" s="5">
        <v>0</v>
      </c>
      <c r="K200" s="3"/>
      <c r="L200" s="3" t="s">
        <v>275</v>
      </c>
      <c r="M200" s="3" t="s">
        <v>275</v>
      </c>
      <c r="N200" s="3">
        <v>13</v>
      </c>
      <c r="O200" s="2">
        <v>46113</v>
      </c>
      <c r="P200" s="3" t="s">
        <v>30</v>
      </c>
      <c r="Q200" s="5">
        <v>195101804.27000001</v>
      </c>
    </row>
    <row r="201" spans="1:17" x14ac:dyDescent="0.35">
      <c r="A201" s="27">
        <v>46113</v>
      </c>
      <c r="B201" s="3">
        <v>97115</v>
      </c>
      <c r="C201" s="23" t="s">
        <v>18</v>
      </c>
      <c r="D201" s="3" t="s">
        <v>31</v>
      </c>
      <c r="E201" s="3" t="s">
        <v>20</v>
      </c>
      <c r="F201" s="4">
        <v>0.70887731481481486</v>
      </c>
      <c r="G201" s="3">
        <v>80</v>
      </c>
      <c r="H201" s="23" t="s">
        <v>69</v>
      </c>
      <c r="I201" s="34">
        <v>6410540</v>
      </c>
      <c r="J201" s="5">
        <v>0</v>
      </c>
      <c r="K201" s="3">
        <v>8600757871</v>
      </c>
      <c r="L201" s="3" t="s">
        <v>70</v>
      </c>
      <c r="M201" s="3" t="s">
        <v>48</v>
      </c>
      <c r="N201" s="3">
        <v>74</v>
      </c>
      <c r="O201" s="2">
        <v>46113</v>
      </c>
      <c r="P201" s="3" t="s">
        <v>30</v>
      </c>
      <c r="Q201" s="5">
        <v>195095196.94999999</v>
      </c>
    </row>
    <row r="202" spans="1:17" ht="29" x14ac:dyDescent="0.35">
      <c r="A202" s="27">
        <v>46113</v>
      </c>
      <c r="B202" s="3">
        <v>295527</v>
      </c>
      <c r="C202" s="23" t="s">
        <v>25</v>
      </c>
      <c r="D202" s="3" t="s">
        <v>49</v>
      </c>
      <c r="E202" s="3" t="s">
        <v>20</v>
      </c>
      <c r="F202" s="4">
        <v>0.6988078703703704</v>
      </c>
      <c r="G202" s="3">
        <v>80</v>
      </c>
      <c r="H202" s="23" t="s">
        <v>276</v>
      </c>
      <c r="I202" s="34">
        <v>708611.25</v>
      </c>
      <c r="J202" s="5">
        <v>0</v>
      </c>
      <c r="K202" s="3">
        <v>8908075298</v>
      </c>
      <c r="L202" s="3" t="s">
        <v>277</v>
      </c>
      <c r="M202" s="3" t="s">
        <v>29</v>
      </c>
      <c r="N202" s="3">
        <v>4526</v>
      </c>
      <c r="O202" s="2">
        <v>46113</v>
      </c>
      <c r="P202" s="3" t="s">
        <v>30</v>
      </c>
      <c r="Q202" s="5">
        <v>194393193.02000001</v>
      </c>
    </row>
    <row r="203" spans="1:17" x14ac:dyDescent="0.35">
      <c r="A203" s="27">
        <v>46113</v>
      </c>
      <c r="B203" s="3">
        <v>878992</v>
      </c>
      <c r="C203" s="23" t="s">
        <v>34</v>
      </c>
      <c r="D203" s="3" t="s">
        <v>83</v>
      </c>
      <c r="E203" s="3" t="s">
        <v>20</v>
      </c>
      <c r="F203" s="4">
        <v>0.64596064814814813</v>
      </c>
      <c r="G203" s="3">
        <v>0</v>
      </c>
      <c r="H203" s="23" t="s">
        <v>36</v>
      </c>
      <c r="I203" s="34">
        <v>171500</v>
      </c>
      <c r="J203" s="5">
        <v>0</v>
      </c>
      <c r="K203" s="3"/>
      <c r="L203" s="3" t="s">
        <v>37</v>
      </c>
      <c r="M203" s="3" t="s">
        <v>38</v>
      </c>
      <c r="N203" s="3">
        <v>17120</v>
      </c>
      <c r="O203" s="2">
        <v>46113</v>
      </c>
      <c r="P203" s="3" t="s">
        <v>39</v>
      </c>
      <c r="Q203" s="5">
        <v>194221693.02000001</v>
      </c>
    </row>
    <row r="204" spans="1:17" x14ac:dyDescent="0.35">
      <c r="A204" s="27">
        <v>46113</v>
      </c>
      <c r="B204" s="3">
        <v>141754</v>
      </c>
      <c r="C204" s="23" t="s">
        <v>34</v>
      </c>
      <c r="D204" s="3" t="s">
        <v>215</v>
      </c>
      <c r="E204" s="3" t="s">
        <v>20</v>
      </c>
      <c r="F204" s="4">
        <v>0.59280092592592593</v>
      </c>
      <c r="G204" s="3">
        <v>0</v>
      </c>
      <c r="H204" s="23" t="s">
        <v>36</v>
      </c>
      <c r="I204" s="34">
        <v>1354650</v>
      </c>
      <c r="J204" s="5">
        <v>0</v>
      </c>
      <c r="K204" s="3"/>
      <c r="L204" s="3" t="s">
        <v>216</v>
      </c>
      <c r="M204" s="3" t="s">
        <v>217</v>
      </c>
      <c r="N204" s="3">
        <v>17040</v>
      </c>
      <c r="O204" s="2">
        <v>46113</v>
      </c>
      <c r="P204" s="3" t="s">
        <v>218</v>
      </c>
      <c r="Q204" s="5">
        <v>192867043.02000001</v>
      </c>
    </row>
    <row r="205" spans="1:17" x14ac:dyDescent="0.35">
      <c r="A205" s="27">
        <v>46113</v>
      </c>
      <c r="B205" s="3">
        <v>632400</v>
      </c>
      <c r="C205" s="23" t="s">
        <v>25</v>
      </c>
      <c r="D205" s="3" t="s">
        <v>26</v>
      </c>
      <c r="E205" s="3" t="s">
        <v>20</v>
      </c>
      <c r="F205" s="4">
        <v>0.4107986111111111</v>
      </c>
      <c r="G205" s="3">
        <v>300</v>
      </c>
      <c r="H205" s="23" t="s">
        <v>27</v>
      </c>
      <c r="I205" s="34">
        <v>228000</v>
      </c>
      <c r="J205" s="5">
        <v>0</v>
      </c>
      <c r="K205" s="3"/>
      <c r="L205" s="3" t="s">
        <v>278</v>
      </c>
      <c r="M205" s="3" t="s">
        <v>29</v>
      </c>
      <c r="N205" s="3">
        <v>1387</v>
      </c>
      <c r="O205" s="2">
        <v>46113</v>
      </c>
      <c r="P205" s="3" t="s">
        <v>30</v>
      </c>
      <c r="Q205" s="5">
        <v>192639043.02000001</v>
      </c>
    </row>
    <row r="206" spans="1:17" x14ac:dyDescent="0.35">
      <c r="A206" s="27">
        <v>46113</v>
      </c>
      <c r="B206" s="3">
        <v>3968929</v>
      </c>
      <c r="C206" s="23" t="s">
        <v>25</v>
      </c>
      <c r="D206" s="3" t="s">
        <v>160</v>
      </c>
      <c r="E206" s="3" t="s">
        <v>20</v>
      </c>
      <c r="F206" s="4">
        <v>0.40954861111111113</v>
      </c>
      <c r="G206" s="3">
        <v>29</v>
      </c>
      <c r="H206" s="23" t="s">
        <v>161</v>
      </c>
      <c r="I206" s="34">
        <v>463148</v>
      </c>
      <c r="J206" s="5">
        <v>0</v>
      </c>
      <c r="K206" s="3">
        <v>900732020</v>
      </c>
      <c r="L206" s="3" t="s">
        <v>162</v>
      </c>
      <c r="M206" s="3" t="s">
        <v>29</v>
      </c>
      <c r="N206" s="3">
        <v>684</v>
      </c>
      <c r="O206" s="2">
        <v>46113</v>
      </c>
      <c r="P206" s="3" t="s">
        <v>30</v>
      </c>
      <c r="Q206" s="5">
        <v>192175895.02000001</v>
      </c>
    </row>
    <row r="207" spans="1:17" ht="10" customHeight="1" x14ac:dyDescent="0.35">
      <c r="A207" s="28"/>
      <c r="Q207" s="10"/>
    </row>
    <row r="208" spans="1:17" x14ac:dyDescent="0.35">
      <c r="A208" s="25" t="s">
        <v>279</v>
      </c>
      <c r="B208" s="6" t="s">
        <v>280</v>
      </c>
      <c r="C208" s="25" t="s">
        <v>281</v>
      </c>
      <c r="D208" s="6" t="s">
        <v>282</v>
      </c>
      <c r="Q208" s="10"/>
    </row>
    <row r="209" spans="1:17" x14ac:dyDescent="0.35">
      <c r="A209" s="29">
        <v>388725447.54000002</v>
      </c>
      <c r="B209" s="7">
        <v>462120956.38999999</v>
      </c>
      <c r="C209" s="26" t="s">
        <v>283</v>
      </c>
      <c r="D209" s="8">
        <v>203</v>
      </c>
      <c r="E209" s="11"/>
      <c r="F209" s="11"/>
      <c r="G209" s="11"/>
      <c r="H209" s="31"/>
      <c r="I209" s="35"/>
      <c r="J209" s="11"/>
      <c r="K209" s="11"/>
      <c r="L209" s="11"/>
      <c r="M209" s="11"/>
      <c r="N209" s="11"/>
      <c r="O209" s="11"/>
      <c r="P209" s="11"/>
      <c r="Q209" s="12"/>
    </row>
  </sheetData>
  <autoFilter ref="A3:Q206" xr:uid="{F7E58B1F-F3E9-442A-982C-5EAF0B57014D}"/>
  <mergeCells count="1"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298A-83AE-4EFD-A85E-DA3608BBDCA8}">
  <dimension ref="A1:G58"/>
  <sheetViews>
    <sheetView topLeftCell="A46" workbookViewId="0">
      <selection activeCell="F62" sqref="F62"/>
    </sheetView>
  </sheetViews>
  <sheetFormatPr baseColWidth="10" defaultRowHeight="14.5" x14ac:dyDescent="0.35"/>
  <cols>
    <col min="3" max="3" width="20" customWidth="1"/>
    <col min="4" max="4" width="20.453125" bestFit="1" customWidth="1"/>
    <col min="6" max="6" width="33" bestFit="1" customWidth="1"/>
    <col min="7" max="7" width="16.54296875" customWidth="1"/>
  </cols>
  <sheetData>
    <row r="1" spans="1:7" x14ac:dyDescent="0.35">
      <c r="A1" s="14" t="s">
        <v>1</v>
      </c>
      <c r="B1" s="14" t="s">
        <v>2</v>
      </c>
      <c r="C1" s="14" t="s">
        <v>3</v>
      </c>
      <c r="D1" s="14" t="s">
        <v>4</v>
      </c>
      <c r="E1" s="14" t="s">
        <v>7</v>
      </c>
      <c r="F1" s="14" t="s">
        <v>8</v>
      </c>
      <c r="G1" s="15" t="s">
        <v>9</v>
      </c>
    </row>
    <row r="2" spans="1:7" x14ac:dyDescent="0.35">
      <c r="A2" s="16">
        <v>46142</v>
      </c>
      <c r="B2" s="17">
        <v>99999999</v>
      </c>
      <c r="C2" s="17" t="s">
        <v>18</v>
      </c>
      <c r="D2" s="17" t="s">
        <v>19</v>
      </c>
      <c r="E2" s="17">
        <v>41</v>
      </c>
      <c r="F2" s="17" t="s">
        <v>21</v>
      </c>
      <c r="G2" s="18">
        <v>55443.62</v>
      </c>
    </row>
    <row r="3" spans="1:7" x14ac:dyDescent="0.35">
      <c r="A3" s="16">
        <v>46142</v>
      </c>
      <c r="B3" s="17">
        <v>99999998</v>
      </c>
      <c r="C3" s="17" t="s">
        <v>18</v>
      </c>
      <c r="D3" s="17" t="s">
        <v>19</v>
      </c>
      <c r="E3" s="17">
        <v>40</v>
      </c>
      <c r="F3" s="17" t="s">
        <v>24</v>
      </c>
      <c r="G3" s="18">
        <v>1051</v>
      </c>
    </row>
    <row r="4" spans="1:7" x14ac:dyDescent="0.35">
      <c r="A4" s="16">
        <v>46142</v>
      </c>
      <c r="B4" s="17">
        <v>635297</v>
      </c>
      <c r="C4" s="17" t="s">
        <v>18</v>
      </c>
      <c r="D4" s="17" t="s">
        <v>31</v>
      </c>
      <c r="E4" s="17">
        <v>177</v>
      </c>
      <c r="F4" s="17" t="s">
        <v>44</v>
      </c>
      <c r="G4" s="18">
        <v>5530</v>
      </c>
    </row>
    <row r="5" spans="1:7" x14ac:dyDescent="0.35">
      <c r="A5" s="16">
        <v>46141</v>
      </c>
      <c r="B5" s="17">
        <v>99999999</v>
      </c>
      <c r="C5" s="17" t="s">
        <v>18</v>
      </c>
      <c r="D5" s="17" t="s">
        <v>19</v>
      </c>
      <c r="E5" s="17">
        <v>41</v>
      </c>
      <c r="F5" s="17" t="s">
        <v>21</v>
      </c>
      <c r="G5" s="18">
        <v>78117.740000000005</v>
      </c>
    </row>
    <row r="6" spans="1:7" x14ac:dyDescent="0.35">
      <c r="A6" s="16">
        <v>46141</v>
      </c>
      <c r="B6" s="17">
        <v>99999998</v>
      </c>
      <c r="C6" s="17" t="s">
        <v>18</v>
      </c>
      <c r="D6" s="17" t="s">
        <v>19</v>
      </c>
      <c r="E6" s="17">
        <v>40</v>
      </c>
      <c r="F6" s="17" t="s">
        <v>24</v>
      </c>
      <c r="G6" s="18">
        <v>2102</v>
      </c>
    </row>
    <row r="7" spans="1:7" x14ac:dyDescent="0.35">
      <c r="A7" s="16">
        <v>46141</v>
      </c>
      <c r="B7" s="17">
        <v>252605</v>
      </c>
      <c r="C7" s="17" t="s">
        <v>18</v>
      </c>
      <c r="D7" s="17" t="s">
        <v>31</v>
      </c>
      <c r="E7" s="17">
        <v>177</v>
      </c>
      <c r="F7" s="17" t="s">
        <v>44</v>
      </c>
      <c r="G7" s="18">
        <v>5530</v>
      </c>
    </row>
    <row r="8" spans="1:7" x14ac:dyDescent="0.35">
      <c r="A8" s="16">
        <v>46141</v>
      </c>
      <c r="B8" s="17">
        <v>908527</v>
      </c>
      <c r="C8" s="17" t="s">
        <v>18</v>
      </c>
      <c r="D8" s="17" t="s">
        <v>31</v>
      </c>
      <c r="E8" s="17">
        <v>177</v>
      </c>
      <c r="F8" s="17" t="s">
        <v>44</v>
      </c>
      <c r="G8" s="18">
        <v>5530</v>
      </c>
    </row>
    <row r="9" spans="1:7" x14ac:dyDescent="0.35">
      <c r="A9" s="16">
        <v>46139</v>
      </c>
      <c r="B9" s="17">
        <v>99999999</v>
      </c>
      <c r="C9" s="17" t="s">
        <v>18</v>
      </c>
      <c r="D9" s="17" t="s">
        <v>19</v>
      </c>
      <c r="E9" s="17">
        <v>41</v>
      </c>
      <c r="F9" s="17" t="s">
        <v>21</v>
      </c>
      <c r="G9" s="18">
        <v>1475.7</v>
      </c>
    </row>
    <row r="10" spans="1:7" x14ac:dyDescent="0.35">
      <c r="A10" s="16">
        <v>46139</v>
      </c>
      <c r="B10" s="17">
        <v>99999998</v>
      </c>
      <c r="C10" s="17" t="s">
        <v>18</v>
      </c>
      <c r="D10" s="17" t="s">
        <v>19</v>
      </c>
      <c r="E10" s="17">
        <v>40</v>
      </c>
      <c r="F10" s="17" t="s">
        <v>24</v>
      </c>
      <c r="G10" s="18">
        <v>1425</v>
      </c>
    </row>
    <row r="11" spans="1:7" x14ac:dyDescent="0.35">
      <c r="A11" s="16">
        <v>46139</v>
      </c>
      <c r="B11" s="17">
        <v>547431</v>
      </c>
      <c r="C11" s="17" t="s">
        <v>18</v>
      </c>
      <c r="D11" s="17" t="s">
        <v>31</v>
      </c>
      <c r="E11" s="17">
        <v>351</v>
      </c>
      <c r="F11" s="17" t="s">
        <v>81</v>
      </c>
      <c r="G11" s="18">
        <v>7500</v>
      </c>
    </row>
    <row r="12" spans="1:7" x14ac:dyDescent="0.35">
      <c r="A12" s="16">
        <v>46136</v>
      </c>
      <c r="B12" s="17">
        <v>99999999</v>
      </c>
      <c r="C12" s="17" t="s">
        <v>18</v>
      </c>
      <c r="D12" s="17" t="s">
        <v>19</v>
      </c>
      <c r="E12" s="17">
        <v>41</v>
      </c>
      <c r="F12" s="17" t="s">
        <v>21</v>
      </c>
      <c r="G12" s="18">
        <v>192063.52</v>
      </c>
    </row>
    <row r="13" spans="1:7" x14ac:dyDescent="0.35">
      <c r="A13" s="16">
        <v>46133</v>
      </c>
      <c r="B13" s="17">
        <v>99999999</v>
      </c>
      <c r="C13" s="17" t="s">
        <v>18</v>
      </c>
      <c r="D13" s="17" t="s">
        <v>19</v>
      </c>
      <c r="E13" s="17">
        <v>41</v>
      </c>
      <c r="F13" s="17" t="s">
        <v>21</v>
      </c>
      <c r="G13" s="18">
        <v>9667.1</v>
      </c>
    </row>
    <row r="14" spans="1:7" x14ac:dyDescent="0.35">
      <c r="A14" s="16">
        <v>46133</v>
      </c>
      <c r="B14" s="17">
        <v>99999998</v>
      </c>
      <c r="C14" s="17" t="s">
        <v>18</v>
      </c>
      <c r="D14" s="17" t="s">
        <v>19</v>
      </c>
      <c r="E14" s="17">
        <v>40</v>
      </c>
      <c r="F14" s="17" t="s">
        <v>24</v>
      </c>
      <c r="G14" s="18">
        <v>4275</v>
      </c>
    </row>
    <row r="15" spans="1:7" x14ac:dyDescent="0.35">
      <c r="A15" s="16">
        <v>46133</v>
      </c>
      <c r="B15" s="17">
        <v>408701</v>
      </c>
      <c r="C15" s="17" t="s">
        <v>18</v>
      </c>
      <c r="D15" s="17" t="s">
        <v>31</v>
      </c>
      <c r="E15" s="17">
        <v>351</v>
      </c>
      <c r="F15" s="17" t="s">
        <v>81</v>
      </c>
      <c r="G15" s="18">
        <v>22500</v>
      </c>
    </row>
    <row r="16" spans="1:7" x14ac:dyDescent="0.35">
      <c r="A16" s="16">
        <v>46129</v>
      </c>
      <c r="B16" s="17">
        <v>99999999</v>
      </c>
      <c r="C16" s="17" t="s">
        <v>18</v>
      </c>
      <c r="D16" s="17" t="s">
        <v>19</v>
      </c>
      <c r="E16" s="17">
        <v>41</v>
      </c>
      <c r="F16" s="17" t="s">
        <v>21</v>
      </c>
      <c r="G16" s="18">
        <v>8874.31</v>
      </c>
    </row>
    <row r="17" spans="1:7" x14ac:dyDescent="0.35">
      <c r="A17" s="16">
        <v>46129</v>
      </c>
      <c r="B17" s="17">
        <v>99999998</v>
      </c>
      <c r="C17" s="17" t="s">
        <v>18</v>
      </c>
      <c r="D17" s="17" t="s">
        <v>19</v>
      </c>
      <c r="E17" s="17">
        <v>40</v>
      </c>
      <c r="F17" s="17" t="s">
        <v>24</v>
      </c>
      <c r="G17" s="18">
        <v>5326</v>
      </c>
    </row>
    <row r="18" spans="1:7" x14ac:dyDescent="0.35">
      <c r="A18" s="16">
        <v>46129</v>
      </c>
      <c r="B18" s="17">
        <v>69966</v>
      </c>
      <c r="C18" s="17" t="s">
        <v>18</v>
      </c>
      <c r="D18" s="17" t="s">
        <v>31</v>
      </c>
      <c r="E18" s="17">
        <v>177</v>
      </c>
      <c r="F18" s="17" t="s">
        <v>44</v>
      </c>
      <c r="G18" s="18">
        <v>5530</v>
      </c>
    </row>
    <row r="19" spans="1:7" x14ac:dyDescent="0.35">
      <c r="A19" s="16">
        <v>46129</v>
      </c>
      <c r="B19" s="17">
        <v>69965</v>
      </c>
      <c r="C19" s="17" t="s">
        <v>18</v>
      </c>
      <c r="D19" s="17" t="s">
        <v>31</v>
      </c>
      <c r="E19" s="17">
        <v>351</v>
      </c>
      <c r="F19" s="17" t="s">
        <v>81</v>
      </c>
      <c r="G19" s="18">
        <v>22500</v>
      </c>
    </row>
    <row r="20" spans="1:7" x14ac:dyDescent="0.35">
      <c r="A20" s="16">
        <v>46128</v>
      </c>
      <c r="B20" s="17">
        <v>99999999</v>
      </c>
      <c r="C20" s="17" t="s">
        <v>18</v>
      </c>
      <c r="D20" s="17" t="s">
        <v>19</v>
      </c>
      <c r="E20" s="17">
        <v>41</v>
      </c>
      <c r="F20" s="17" t="s">
        <v>21</v>
      </c>
      <c r="G20" s="18">
        <v>6022.64</v>
      </c>
    </row>
    <row r="21" spans="1:7" x14ac:dyDescent="0.35">
      <c r="A21" s="16">
        <v>46128</v>
      </c>
      <c r="B21" s="17">
        <v>99999998</v>
      </c>
      <c r="C21" s="17" t="s">
        <v>18</v>
      </c>
      <c r="D21" s="17" t="s">
        <v>19</v>
      </c>
      <c r="E21" s="17">
        <v>40</v>
      </c>
      <c r="F21" s="17" t="s">
        <v>24</v>
      </c>
      <c r="G21" s="18">
        <v>1051</v>
      </c>
    </row>
    <row r="22" spans="1:7" x14ac:dyDescent="0.35">
      <c r="A22" s="16">
        <v>46128</v>
      </c>
      <c r="B22" s="17">
        <v>733093</v>
      </c>
      <c r="C22" s="17" t="s">
        <v>18</v>
      </c>
      <c r="D22" s="17" t="s">
        <v>31</v>
      </c>
      <c r="E22" s="17">
        <v>177</v>
      </c>
      <c r="F22" s="17" t="s">
        <v>44</v>
      </c>
      <c r="G22" s="18">
        <v>5530</v>
      </c>
    </row>
    <row r="23" spans="1:7" x14ac:dyDescent="0.35">
      <c r="A23" s="16">
        <v>46127</v>
      </c>
      <c r="B23" s="17">
        <v>99999999</v>
      </c>
      <c r="C23" s="17" t="s">
        <v>18</v>
      </c>
      <c r="D23" s="17" t="s">
        <v>19</v>
      </c>
      <c r="E23" s="17">
        <v>41</v>
      </c>
      <c r="F23" s="17" t="s">
        <v>21</v>
      </c>
      <c r="G23" s="18">
        <v>14341.03</v>
      </c>
    </row>
    <row r="24" spans="1:7" x14ac:dyDescent="0.35">
      <c r="A24" s="16">
        <v>46127</v>
      </c>
      <c r="B24" s="17">
        <v>99999998</v>
      </c>
      <c r="C24" s="17" t="s">
        <v>18</v>
      </c>
      <c r="D24" s="17" t="s">
        <v>19</v>
      </c>
      <c r="E24" s="17">
        <v>40</v>
      </c>
      <c r="F24" s="17" t="s">
        <v>24</v>
      </c>
      <c r="G24" s="18">
        <v>2476</v>
      </c>
    </row>
    <row r="25" spans="1:7" x14ac:dyDescent="0.35">
      <c r="A25" s="16">
        <v>46127</v>
      </c>
      <c r="B25" s="17">
        <v>19383</v>
      </c>
      <c r="C25" s="17" t="s">
        <v>18</v>
      </c>
      <c r="D25" s="17" t="s">
        <v>31</v>
      </c>
      <c r="E25" s="17">
        <v>177</v>
      </c>
      <c r="F25" s="17" t="s">
        <v>44</v>
      </c>
      <c r="G25" s="18">
        <v>5530</v>
      </c>
    </row>
    <row r="26" spans="1:7" x14ac:dyDescent="0.35">
      <c r="A26" s="16">
        <v>46127</v>
      </c>
      <c r="B26" s="17">
        <v>19382</v>
      </c>
      <c r="C26" s="17" t="s">
        <v>18</v>
      </c>
      <c r="D26" s="17" t="s">
        <v>31</v>
      </c>
      <c r="E26" s="17">
        <v>351</v>
      </c>
      <c r="F26" s="17" t="s">
        <v>81</v>
      </c>
      <c r="G26" s="18">
        <v>7500</v>
      </c>
    </row>
    <row r="27" spans="1:7" x14ac:dyDescent="0.35">
      <c r="A27" s="16">
        <v>46126</v>
      </c>
      <c r="B27" s="17">
        <v>99999999</v>
      </c>
      <c r="C27" s="17" t="s">
        <v>18</v>
      </c>
      <c r="D27" s="17" t="s">
        <v>19</v>
      </c>
      <c r="E27" s="17">
        <v>41</v>
      </c>
      <c r="F27" s="17" t="s">
        <v>21</v>
      </c>
      <c r="G27" s="18">
        <v>233.71</v>
      </c>
    </row>
    <row r="28" spans="1:7" x14ac:dyDescent="0.35">
      <c r="A28" s="16">
        <v>46126</v>
      </c>
      <c r="B28" s="17">
        <v>99999998</v>
      </c>
      <c r="C28" s="17" t="s">
        <v>18</v>
      </c>
      <c r="D28" s="17" t="s">
        <v>19</v>
      </c>
      <c r="E28" s="17">
        <v>40</v>
      </c>
      <c r="F28" s="17" t="s">
        <v>24</v>
      </c>
      <c r="G28" s="18">
        <v>9329</v>
      </c>
    </row>
    <row r="29" spans="1:7" x14ac:dyDescent="0.35">
      <c r="A29" s="16">
        <v>46126</v>
      </c>
      <c r="B29" s="17">
        <v>56517</v>
      </c>
      <c r="C29" s="17" t="s">
        <v>18</v>
      </c>
      <c r="D29" s="17" t="s">
        <v>72</v>
      </c>
      <c r="E29" s="17">
        <v>67</v>
      </c>
      <c r="F29" s="17" t="s">
        <v>204</v>
      </c>
      <c r="G29" s="18">
        <v>24501</v>
      </c>
    </row>
    <row r="30" spans="1:7" x14ac:dyDescent="0.35">
      <c r="A30" s="16">
        <v>46126</v>
      </c>
      <c r="B30" s="17">
        <v>56516</v>
      </c>
      <c r="C30" s="17" t="s">
        <v>18</v>
      </c>
      <c r="D30" s="17" t="s">
        <v>72</v>
      </c>
      <c r="E30" s="17">
        <v>67</v>
      </c>
      <c r="F30" s="17" t="s">
        <v>204</v>
      </c>
      <c r="G30" s="18">
        <v>24600</v>
      </c>
    </row>
    <row r="31" spans="1:7" x14ac:dyDescent="0.35">
      <c r="A31" s="16">
        <v>46125</v>
      </c>
      <c r="B31" s="17">
        <v>99999999</v>
      </c>
      <c r="C31" s="17" t="s">
        <v>18</v>
      </c>
      <c r="D31" s="17" t="s">
        <v>19</v>
      </c>
      <c r="E31" s="17">
        <v>41</v>
      </c>
      <c r="F31" s="17" t="s">
        <v>21</v>
      </c>
      <c r="G31" s="18">
        <v>517192.02</v>
      </c>
    </row>
    <row r="32" spans="1:7" x14ac:dyDescent="0.35">
      <c r="A32" s="16">
        <v>46125</v>
      </c>
      <c r="B32" s="17">
        <v>99999998</v>
      </c>
      <c r="C32" s="17" t="s">
        <v>18</v>
      </c>
      <c r="D32" s="17" t="s">
        <v>19</v>
      </c>
      <c r="E32" s="17">
        <v>40</v>
      </c>
      <c r="F32" s="17" t="s">
        <v>24</v>
      </c>
      <c r="G32" s="18">
        <v>7053</v>
      </c>
    </row>
    <row r="33" spans="1:7" x14ac:dyDescent="0.35">
      <c r="A33" s="16">
        <v>46125</v>
      </c>
      <c r="B33" s="17">
        <v>521872</v>
      </c>
      <c r="C33" s="17" t="s">
        <v>18</v>
      </c>
      <c r="D33" s="17" t="s">
        <v>31</v>
      </c>
      <c r="E33" s="17">
        <v>177</v>
      </c>
      <c r="F33" s="17" t="s">
        <v>44</v>
      </c>
      <c r="G33" s="18">
        <v>16591</v>
      </c>
    </row>
    <row r="34" spans="1:7" x14ac:dyDescent="0.35">
      <c r="A34" s="16">
        <v>46125</v>
      </c>
      <c r="B34" s="17">
        <v>521871</v>
      </c>
      <c r="C34" s="17" t="s">
        <v>18</v>
      </c>
      <c r="D34" s="17" t="s">
        <v>31</v>
      </c>
      <c r="E34" s="17">
        <v>351</v>
      </c>
      <c r="F34" s="17" t="s">
        <v>81</v>
      </c>
      <c r="G34" s="18">
        <v>15000</v>
      </c>
    </row>
    <row r="35" spans="1:7" x14ac:dyDescent="0.35">
      <c r="A35" s="16">
        <v>46125</v>
      </c>
      <c r="B35" s="17">
        <v>521856</v>
      </c>
      <c r="C35" s="17" t="s">
        <v>18</v>
      </c>
      <c r="D35" s="17" t="s">
        <v>31</v>
      </c>
      <c r="E35" s="17">
        <v>177</v>
      </c>
      <c r="F35" s="17" t="s">
        <v>44</v>
      </c>
      <c r="G35" s="18">
        <v>5530</v>
      </c>
    </row>
    <row r="36" spans="1:7" x14ac:dyDescent="0.35">
      <c r="A36" s="16">
        <v>46122</v>
      </c>
      <c r="B36" s="17">
        <v>99999999</v>
      </c>
      <c r="C36" s="17" t="s">
        <v>18</v>
      </c>
      <c r="D36" s="17" t="s">
        <v>19</v>
      </c>
      <c r="E36" s="17">
        <v>41</v>
      </c>
      <c r="F36" s="17" t="s">
        <v>21</v>
      </c>
      <c r="G36" s="18">
        <v>198525.69</v>
      </c>
    </row>
    <row r="37" spans="1:7" x14ac:dyDescent="0.35">
      <c r="A37" s="16">
        <v>46122</v>
      </c>
      <c r="B37" s="17">
        <v>99999998</v>
      </c>
      <c r="C37" s="17" t="s">
        <v>18</v>
      </c>
      <c r="D37" s="17" t="s">
        <v>19</v>
      </c>
      <c r="E37" s="17">
        <v>40</v>
      </c>
      <c r="F37" s="17" t="s">
        <v>24</v>
      </c>
      <c r="G37" s="18">
        <v>4577</v>
      </c>
    </row>
    <row r="38" spans="1:7" x14ac:dyDescent="0.35">
      <c r="A38" s="16">
        <v>46122</v>
      </c>
      <c r="B38" s="17">
        <v>247754</v>
      </c>
      <c r="C38" s="17" t="s">
        <v>18</v>
      </c>
      <c r="D38" s="17" t="s">
        <v>31</v>
      </c>
      <c r="E38" s="17">
        <v>177</v>
      </c>
      <c r="F38" s="17" t="s">
        <v>44</v>
      </c>
      <c r="G38" s="18">
        <v>16591</v>
      </c>
    </row>
    <row r="39" spans="1:7" x14ac:dyDescent="0.35">
      <c r="A39" s="16">
        <v>46122</v>
      </c>
      <c r="B39" s="17">
        <v>247753</v>
      </c>
      <c r="C39" s="17" t="s">
        <v>18</v>
      </c>
      <c r="D39" s="17" t="s">
        <v>31</v>
      </c>
      <c r="E39" s="17">
        <v>351</v>
      </c>
      <c r="F39" s="17" t="s">
        <v>81</v>
      </c>
      <c r="G39" s="18">
        <v>7500</v>
      </c>
    </row>
    <row r="40" spans="1:7" x14ac:dyDescent="0.35">
      <c r="A40" s="16">
        <v>46121</v>
      </c>
      <c r="B40" s="17">
        <v>99999999</v>
      </c>
      <c r="C40" s="17" t="s">
        <v>18</v>
      </c>
      <c r="D40" s="17" t="s">
        <v>19</v>
      </c>
      <c r="E40" s="17">
        <v>41</v>
      </c>
      <c r="F40" s="17" t="s">
        <v>21</v>
      </c>
      <c r="G40" s="18">
        <v>11787.1</v>
      </c>
    </row>
    <row r="41" spans="1:7" x14ac:dyDescent="0.35">
      <c r="A41" s="16">
        <v>46121</v>
      </c>
      <c r="B41" s="17">
        <v>99999998</v>
      </c>
      <c r="C41" s="17" t="s">
        <v>18</v>
      </c>
      <c r="D41" s="17" t="s">
        <v>19</v>
      </c>
      <c r="E41" s="17">
        <v>40</v>
      </c>
      <c r="F41" s="17" t="s">
        <v>24</v>
      </c>
      <c r="G41" s="18">
        <v>4275</v>
      </c>
    </row>
    <row r="42" spans="1:7" x14ac:dyDescent="0.35">
      <c r="A42" s="16">
        <v>46121</v>
      </c>
      <c r="B42" s="17">
        <v>866409</v>
      </c>
      <c r="C42" s="17" t="s">
        <v>18</v>
      </c>
      <c r="D42" s="17" t="s">
        <v>31</v>
      </c>
      <c r="E42" s="17">
        <v>351</v>
      </c>
      <c r="F42" s="17" t="s">
        <v>81</v>
      </c>
      <c r="G42" s="18">
        <v>22500</v>
      </c>
    </row>
    <row r="43" spans="1:7" x14ac:dyDescent="0.35">
      <c r="A43" s="16">
        <v>46120</v>
      </c>
      <c r="B43" s="17">
        <v>99999999</v>
      </c>
      <c r="C43" s="17" t="s">
        <v>18</v>
      </c>
      <c r="D43" s="17" t="s">
        <v>19</v>
      </c>
      <c r="E43" s="17">
        <v>41</v>
      </c>
      <c r="F43" s="17" t="s">
        <v>21</v>
      </c>
      <c r="G43" s="18">
        <v>175949.62</v>
      </c>
    </row>
    <row r="44" spans="1:7" x14ac:dyDescent="0.35">
      <c r="A44" s="16">
        <v>46120</v>
      </c>
      <c r="B44" s="17">
        <v>99999998</v>
      </c>
      <c r="C44" s="17" t="s">
        <v>18</v>
      </c>
      <c r="D44" s="17" t="s">
        <v>19</v>
      </c>
      <c r="E44" s="17">
        <v>40</v>
      </c>
      <c r="F44" s="17" t="s">
        <v>24</v>
      </c>
      <c r="G44" s="18">
        <v>2101</v>
      </c>
    </row>
    <row r="45" spans="1:7" x14ac:dyDescent="0.35">
      <c r="A45" s="16">
        <v>46120</v>
      </c>
      <c r="B45" s="17">
        <v>626437</v>
      </c>
      <c r="C45" s="17" t="s">
        <v>18</v>
      </c>
      <c r="D45" s="17" t="s">
        <v>31</v>
      </c>
      <c r="E45" s="17">
        <v>177</v>
      </c>
      <c r="F45" s="17" t="s">
        <v>44</v>
      </c>
      <c r="G45" s="18">
        <v>11061</v>
      </c>
    </row>
    <row r="46" spans="1:7" x14ac:dyDescent="0.35">
      <c r="A46" s="16">
        <v>46119</v>
      </c>
      <c r="B46" s="17">
        <v>99999999</v>
      </c>
      <c r="C46" s="17" t="s">
        <v>18</v>
      </c>
      <c r="D46" s="17" t="s">
        <v>19</v>
      </c>
      <c r="E46" s="17">
        <v>41</v>
      </c>
      <c r="F46" s="17" t="s">
        <v>21</v>
      </c>
      <c r="G46" s="18">
        <v>25287.29</v>
      </c>
    </row>
    <row r="47" spans="1:7" x14ac:dyDescent="0.35">
      <c r="A47" s="16">
        <v>46118</v>
      </c>
      <c r="B47" s="17">
        <v>99999999</v>
      </c>
      <c r="C47" s="17" t="s">
        <v>18</v>
      </c>
      <c r="D47" s="17" t="s">
        <v>19</v>
      </c>
      <c r="E47" s="17">
        <v>41</v>
      </c>
      <c r="F47" s="17" t="s">
        <v>21</v>
      </c>
      <c r="G47" s="18">
        <v>517729</v>
      </c>
    </row>
    <row r="48" spans="1:7" x14ac:dyDescent="0.35">
      <c r="A48" s="16">
        <v>46118</v>
      </c>
      <c r="B48" s="17">
        <v>99999998</v>
      </c>
      <c r="C48" s="17" t="s">
        <v>18</v>
      </c>
      <c r="D48" s="17" t="s">
        <v>19</v>
      </c>
      <c r="E48" s="17">
        <v>40</v>
      </c>
      <c r="F48" s="17" t="s">
        <v>24</v>
      </c>
      <c r="G48" s="18">
        <v>22052</v>
      </c>
    </row>
    <row r="49" spans="1:7" x14ac:dyDescent="0.35">
      <c r="A49" s="16">
        <v>46118</v>
      </c>
      <c r="B49" s="17">
        <v>302628</v>
      </c>
      <c r="C49" s="17" t="s">
        <v>18</v>
      </c>
      <c r="D49" s="17" t="s">
        <v>31</v>
      </c>
      <c r="E49" s="17">
        <v>177</v>
      </c>
      <c r="F49" s="17" t="s">
        <v>44</v>
      </c>
      <c r="G49" s="18">
        <v>5530</v>
      </c>
    </row>
    <row r="50" spans="1:7" x14ac:dyDescent="0.35">
      <c r="A50" s="16">
        <v>46118</v>
      </c>
      <c r="B50" s="17">
        <v>302627</v>
      </c>
      <c r="C50" s="17" t="s">
        <v>18</v>
      </c>
      <c r="D50" s="17" t="s">
        <v>31</v>
      </c>
      <c r="E50" s="17">
        <v>351</v>
      </c>
      <c r="F50" s="17" t="s">
        <v>81</v>
      </c>
      <c r="G50" s="18">
        <v>105000</v>
      </c>
    </row>
    <row r="51" spans="1:7" x14ac:dyDescent="0.35">
      <c r="A51" s="16">
        <v>46118</v>
      </c>
      <c r="B51" s="17">
        <v>302609</v>
      </c>
      <c r="C51" s="17" t="s">
        <v>18</v>
      </c>
      <c r="D51" s="17" t="s">
        <v>31</v>
      </c>
      <c r="E51" s="17">
        <v>177</v>
      </c>
      <c r="F51" s="17" t="s">
        <v>44</v>
      </c>
      <c r="G51" s="18">
        <v>5530</v>
      </c>
    </row>
    <row r="52" spans="1:7" x14ac:dyDescent="0.35">
      <c r="A52" s="16">
        <v>46113</v>
      </c>
      <c r="B52" s="17">
        <v>99999999</v>
      </c>
      <c r="C52" s="17" t="s">
        <v>18</v>
      </c>
      <c r="D52" s="17" t="s">
        <v>19</v>
      </c>
      <c r="E52" s="17">
        <v>41</v>
      </c>
      <c r="F52" s="17" t="s">
        <v>21</v>
      </c>
      <c r="G52" s="18">
        <v>28409.14</v>
      </c>
    </row>
    <row r="53" spans="1:7" x14ac:dyDescent="0.35">
      <c r="A53" s="16">
        <v>46113</v>
      </c>
      <c r="B53" s="17">
        <v>99999998</v>
      </c>
      <c r="C53" s="17" t="s">
        <v>18</v>
      </c>
      <c r="D53" s="17" t="s">
        <v>19</v>
      </c>
      <c r="E53" s="17">
        <v>40</v>
      </c>
      <c r="F53" s="17" t="s">
        <v>24</v>
      </c>
      <c r="G53" s="18">
        <v>110447</v>
      </c>
    </row>
    <row r="54" spans="1:7" x14ac:dyDescent="0.35">
      <c r="A54" s="16">
        <v>46113</v>
      </c>
      <c r="B54" s="17">
        <v>670401</v>
      </c>
      <c r="C54" s="17" t="s">
        <v>18</v>
      </c>
      <c r="D54" s="17" t="s">
        <v>72</v>
      </c>
      <c r="E54" s="17">
        <v>67</v>
      </c>
      <c r="F54" s="17" t="s">
        <v>204</v>
      </c>
      <c r="G54" s="18">
        <v>575770</v>
      </c>
    </row>
    <row r="55" spans="1:7" x14ac:dyDescent="0.35">
      <c r="A55" s="16">
        <v>46113</v>
      </c>
      <c r="B55" s="17">
        <v>97116</v>
      </c>
      <c r="C55" s="17" t="s">
        <v>18</v>
      </c>
      <c r="D55" s="17" t="s">
        <v>31</v>
      </c>
      <c r="E55" s="17">
        <v>177</v>
      </c>
      <c r="F55" s="17" t="s">
        <v>44</v>
      </c>
      <c r="G55" s="18">
        <v>5530</v>
      </c>
    </row>
    <row r="58" spans="1:7" x14ac:dyDescent="0.35">
      <c r="G58" s="13">
        <f>SUBTOTAL(9,G2:G57)</f>
        <v>2953073.2300000004</v>
      </c>
    </row>
  </sheetData>
  <autoFilter ref="A1:I55" xr:uid="{A462298A-83AE-4EFD-A85E-DA3608BBDCA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B97D8D99A00E4F8E98EA99B12FE5EC" ma:contentTypeVersion="15" ma:contentTypeDescription="Crear nuevo documento." ma:contentTypeScope="" ma:versionID="1def47a47e3e78fff0b63f168ced6785">
  <xsd:schema xmlns:xsd="http://www.w3.org/2001/XMLSchema" xmlns:xs="http://www.w3.org/2001/XMLSchema" xmlns:p="http://schemas.microsoft.com/office/2006/metadata/properties" xmlns:ns2="1d2fce52-ac16-4914-a45c-f1a86d0b4eb0" xmlns:ns3="3d6ced2f-ac97-419f-97d0-9cc998061c14" targetNamespace="http://schemas.microsoft.com/office/2006/metadata/properties" ma:root="true" ma:fieldsID="391cb7367a5ac89b929f1a9c824b6d9a" ns2:_="" ns3:_="">
    <xsd:import namespace="1d2fce52-ac16-4914-a45c-f1a86d0b4eb0"/>
    <xsd:import namespace="3d6ced2f-ac97-419f-97d0-9cc998061c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2fce52-ac16-4914-a45c-f1a86d0b4e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e0635eb-eb5b-4b21-8884-a413418d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ced2f-ac97-419f-97d0-9cc998061c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83dbe88-abb3-4031-8bd7-3c96f8281e09}" ma:internalName="TaxCatchAll" ma:showField="CatchAllData" ma:web="3d6ced2f-ac97-419f-97d0-9cc998061c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2fce52-ac16-4914-a45c-f1a86d0b4eb0">
      <Terms xmlns="http://schemas.microsoft.com/office/infopath/2007/PartnerControls"/>
    </lcf76f155ced4ddcb4097134ff3c332f>
    <TaxCatchAll xmlns="3d6ced2f-ac97-419f-97d0-9cc998061c14" xsi:nil="true"/>
  </documentManagement>
</p:properties>
</file>

<file path=customXml/itemProps1.xml><?xml version="1.0" encoding="utf-8"?>
<ds:datastoreItem xmlns:ds="http://schemas.openxmlformats.org/officeDocument/2006/customXml" ds:itemID="{8B76B1EA-2A97-4456-AE76-32933485A5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C565C1-21FE-425F-840B-BE87D9A10548}"/>
</file>

<file path=customXml/itemProps3.xml><?xml version="1.0" encoding="utf-8"?>
<ds:datastoreItem xmlns:ds="http://schemas.openxmlformats.org/officeDocument/2006/customXml" ds:itemID="{C1497AA4-3641-4473-932F-D65BAE227ED6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39be13d-f9ff-4945-9191-ec08b3c5ea52}" enabled="0" method="" siteId="{439be13d-f9ff-4945-9191-ec08b3c5ea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Movimientos0560039269999858 - 2</vt:lpstr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MARIA WIESNER MORA</dc:creator>
  <cp:lastModifiedBy>LINA MARIA WIESNER MORA</cp:lastModifiedBy>
  <dcterms:created xsi:type="dcterms:W3CDTF">2026-05-05T15:45:08Z</dcterms:created>
  <dcterms:modified xsi:type="dcterms:W3CDTF">2026-05-27T20:35:21Z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0x01010067B97D8D99A00E4F8E98EA99B12FE5EC</vt:lpwstr>
  </property>
</Properties>
</file>